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pple/Devlopment/PharmasenseAiProject/"/>
    </mc:Choice>
  </mc:AlternateContent>
  <xr:revisionPtr revIDLastSave="0" documentId="13_ncr:1_{AFC4004E-086E-6D4B-BCC2-9D96827E1A21}" xr6:coauthVersionLast="47" xr6:coauthVersionMax="47" xr10:uidLastSave="{00000000-0000-0000-0000-000000000000}"/>
  <bookViews>
    <workbookView xWindow="0" yWindow="580" windowWidth="25600" windowHeight="16060" tabRatio="500" activeTab="2" xr2:uid="{00000000-000D-0000-FFFF-FFFF00000000}"/>
  </bookViews>
  <sheets>
    <sheet name="Agent_Summary" sheetId="1" r:id="rId1"/>
    <sheet name="Trial_AE_Summary" sheetId="2" r:id="rId2"/>
    <sheet name="Agent_Logs_Raw" sheetId="3" r:id="rId3"/>
    <sheet name="Trials_Raw" sheetId="4" r:id="rId4"/>
    <sheet name="AE_Raw" sheetId="5" r:id="rId5"/>
    <sheet name="Sites_Raw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01" i="3" l="1"/>
  <c r="L400" i="3"/>
  <c r="L399" i="3"/>
  <c r="F5" i="1" s="1"/>
  <c r="G5" i="1" s="1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F10" i="1" s="1"/>
  <c r="G10" i="1" s="1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F8" i="1" s="1"/>
  <c r="G8" i="1" s="1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F7" i="1" s="1"/>
  <c r="G7" i="1" s="1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F6" i="1" s="1"/>
  <c r="G6" i="1" s="1"/>
  <c r="L6" i="3"/>
  <c r="L5" i="3"/>
  <c r="L4" i="3"/>
  <c r="L3" i="3"/>
  <c r="L2" i="3"/>
  <c r="B48" i="2"/>
  <c r="B47" i="2"/>
  <c r="B46" i="2"/>
  <c r="B45" i="2"/>
  <c r="B44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C25" i="2"/>
  <c r="B25" i="2"/>
  <c r="C24" i="2"/>
  <c r="B24" i="2"/>
  <c r="C23" i="2"/>
  <c r="B23" i="2"/>
  <c r="B18" i="2"/>
  <c r="B17" i="2"/>
  <c r="B16" i="2"/>
  <c r="B15" i="2"/>
  <c r="B14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E10" i="1"/>
  <c r="D10" i="1"/>
  <c r="C10" i="1"/>
  <c r="B10" i="1"/>
  <c r="F9" i="1"/>
  <c r="G9" i="1" s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</calcChain>
</file>

<file path=xl/sharedStrings.xml><?xml version="1.0" encoding="utf-8"?>
<sst xmlns="http://schemas.openxmlformats.org/spreadsheetml/2006/main" count="12107" uniqueCount="4558">
  <si>
    <t>Agent Performance Summary</t>
  </si>
  <si>
    <t>Source: Agent_Logs_Raw (agent_interaction_logs.csv), 400 interactions</t>
  </si>
  <si>
    <t>Agent</t>
  </si>
  <si>
    <t>Calls</t>
  </si>
  <si>
    <t>Avg Latency (ms)</t>
  </si>
  <si>
    <t>Avg Tokens</t>
  </si>
  <si>
    <t>Avg Rating</t>
  </si>
  <si>
    <t>Escalations</t>
  </si>
  <si>
    <t>Escalation %</t>
  </si>
  <si>
    <t>Adverse Event Triage Agent</t>
  </si>
  <si>
    <t>Compound Similarity Agent</t>
  </si>
  <si>
    <t>Literature &amp; Document Research Agent</t>
  </si>
  <si>
    <t>Report Writer Agent</t>
  </si>
  <si>
    <t>Router / Planner Agent</t>
  </si>
  <si>
    <t>Trial Data Analyst Agent</t>
  </si>
  <si>
    <t>Tool Usage Summary</t>
  </si>
  <si>
    <t>Tool</t>
  </si>
  <si>
    <t>Max Latency (ms)</t>
  </si>
  <si>
    <t>ae_severity_classifier_tool</t>
  </si>
  <si>
    <t>citation_formatter_tool</t>
  </si>
  <si>
    <t>compound_similarity_tool</t>
  </si>
  <si>
    <t>escalation_notifier_tool</t>
  </si>
  <si>
    <t>sql_query_tool</t>
  </si>
  <si>
    <t>statistics_tool</t>
  </si>
  <si>
    <t>vector_search_tool</t>
  </si>
  <si>
    <t>Clinical Trial &amp; Adverse Event Summary</t>
  </si>
  <si>
    <t>Sources: Trials_Raw (clinical_trials.csv), AE_Raw (adverse_events.csv), Sites_Raw (trial_sites.csv)</t>
  </si>
  <si>
    <t>Enrollment by Trial Phase</t>
  </si>
  <si>
    <t>Trial Phase</t>
  </si>
  <si>
    <t># Trials</t>
  </si>
  <si>
    <t>Target Enrollment</t>
  </si>
  <si>
    <t>Actual Enrollment</t>
  </si>
  <si>
    <t>% Enrolled</t>
  </si>
  <si>
    <t>Phase I</t>
  </si>
  <si>
    <t>Phase II</t>
  </si>
  <si>
    <t>Phase III</t>
  </si>
  <si>
    <t>Phase IV</t>
  </si>
  <si>
    <t>Trials by Status</t>
  </si>
  <si>
    <t>Status</t>
  </si>
  <si>
    <t>Active, not recruiting</t>
  </si>
  <si>
    <t>Completed</t>
  </si>
  <si>
    <t>Recruiting</t>
  </si>
  <si>
    <t>Suspended</t>
  </si>
  <si>
    <t>Terminated</t>
  </si>
  <si>
    <t>Adverse Events by Severity</t>
  </si>
  <si>
    <t>Severity</t>
  </si>
  <si>
    <t># Events</t>
  </si>
  <si>
    <t># Serious</t>
  </si>
  <si>
    <t>Mild</t>
  </si>
  <si>
    <t>Moderate</t>
  </si>
  <si>
    <t>Severe</t>
  </si>
  <si>
    <t>Sites &amp; Enrollment by Country</t>
  </si>
  <si>
    <t>Country</t>
  </si>
  <si>
    <t># Sites</t>
  </si>
  <si>
    <t>Enrollment Count</t>
  </si>
  <si>
    <t># Active Sites</t>
  </si>
  <si>
    <t>Australia</t>
  </si>
  <si>
    <t>Brazil</t>
  </si>
  <si>
    <t>Canada</t>
  </si>
  <si>
    <t>Germany</t>
  </si>
  <si>
    <t>India</t>
  </si>
  <si>
    <t>Japan</t>
  </si>
  <si>
    <t>South Africa</t>
  </si>
  <si>
    <t>Spain</t>
  </si>
  <si>
    <t>United Kingdom</t>
  </si>
  <si>
    <t>United States</t>
  </si>
  <si>
    <t>Adverse Event Outcomes (Serious events only)</t>
  </si>
  <si>
    <t>Outcome</t>
  </si>
  <si>
    <t>Fatal</t>
  </si>
  <si>
    <t>Ongoing</t>
  </si>
  <si>
    <t>Resolved</t>
  </si>
  <si>
    <t>Resolved with Sequelae</t>
  </si>
  <si>
    <t>Resolving</t>
  </si>
  <si>
    <t>log_id</t>
  </si>
  <si>
    <t>session_id</t>
  </si>
  <si>
    <t>timestamp</t>
  </si>
  <si>
    <t>user_role</t>
  </si>
  <si>
    <t>user_query</t>
  </si>
  <si>
    <t>agent_invoked</t>
  </si>
  <si>
    <t>tool_called</t>
  </si>
  <si>
    <t>response_summary</t>
  </si>
  <si>
    <t>latency_ms</t>
  </si>
  <si>
    <t>tokens_used</t>
  </si>
  <si>
    <t>feedback_rating</t>
  </si>
  <si>
    <t>escalated_flag</t>
  </si>
  <si>
    <t>LOG-00001</t>
  </si>
  <si>
    <t>SESS-1441</t>
  </si>
  <si>
    <t>2026-06-28 10:04:00</t>
  </si>
  <si>
    <t>Medical Science Liaison</t>
  </si>
  <si>
    <t>What did the latest literature review say about PD-1 inhibitors?</t>
  </si>
  <si>
    <t>Classified event severity and logged to review queue.</t>
  </si>
  <si>
    <t>LOG-00002</t>
  </si>
  <si>
    <t>SESS-1664</t>
  </si>
  <si>
    <t>2026-08-07 07:35:00</t>
  </si>
  <si>
    <t>Data Scientist</t>
  </si>
  <si>
    <t>Which Phase II trials for Cardiology are currently below 60% enrollment?</t>
  </si>
  <si>
    <t>No matching records found; suggested a broader query.</t>
  </si>
  <si>
    <t>LOG-00003</t>
  </si>
  <si>
    <t>SESS-1412</t>
  </si>
  <si>
    <t>2026-07-05 11:43:00</t>
  </si>
  <si>
    <t>Clinical Operations Manager</t>
  </si>
  <si>
    <t>Is there a hERG cardiotoxicity risk flagged for SNF-1121?</t>
  </si>
  <si>
    <t>Compiled multi-agent outputs into a one-page report.</t>
  </si>
  <si>
    <t>LOG-00004</t>
  </si>
  <si>
    <t>SESS-1531</t>
  </si>
  <si>
    <t>2026-08-29 20:38:00</t>
  </si>
  <si>
    <t>Draft a status report for TRL-0010 for the portfolio committee.</t>
  </si>
  <si>
    <t>Returned structured table with 3 matching records.</t>
  </si>
  <si>
    <t>LOG-00005</t>
  </si>
  <si>
    <t>SESS-1224</t>
  </si>
  <si>
    <t>2026-06-21 05:19:00</t>
  </si>
  <si>
    <t>Research Scientist</t>
  </si>
  <si>
    <t>Which Phase II trials for Respiratory are currently below 60% enrollment?</t>
  </si>
  <si>
    <t>LOG-00006</t>
  </si>
  <si>
    <t>SESS-1067</t>
  </si>
  <si>
    <t>2026-07-14 11:11:00</t>
  </si>
  <si>
    <t>Which Phase II trials for Oncology are currently below 60% enrollment?</t>
  </si>
  <si>
    <t>LOG-00007</t>
  </si>
  <si>
    <t>SESS-1401</t>
  </si>
  <si>
    <t>2026-08-13 15:32:00</t>
  </si>
  <si>
    <t>Draft a status report for TRL-0047 for the portfolio committee.</t>
  </si>
  <si>
    <t>LOG-00008</t>
  </si>
  <si>
    <t>SESS-1507</t>
  </si>
  <si>
    <t>2026-07-19 20:04:00</t>
  </si>
  <si>
    <t>Find compounds similar to PSA-1103 targeting SGLT2.</t>
  </si>
  <si>
    <t>Retrieved 4 supporting document excerpts and generated a cited summary.</t>
  </si>
  <si>
    <t>LOG-00009</t>
  </si>
  <si>
    <t>SESS-1722</t>
  </si>
  <si>
    <t>2026-07-23 10:15:00</t>
  </si>
  <si>
    <t>Find compounds similar to DKU-1074 targeting GLP-1R.</t>
  </si>
  <si>
    <t>LOG-00010</t>
  </si>
  <si>
    <t>SESS-1929</t>
  </si>
  <si>
    <t>2026-08-31 14:41:00</t>
  </si>
  <si>
    <t>Biostatistician</t>
  </si>
  <si>
    <t>LOG-00011</t>
  </si>
  <si>
    <t>SESS-1174</t>
  </si>
  <si>
    <t>2026-07-14 10:32:00</t>
  </si>
  <si>
    <t>Regulatory Affairs Specialist</t>
  </si>
  <si>
    <t>How many sites are actively recruiting for Respiratory programs?</t>
  </si>
  <si>
    <t>LOG-00012</t>
  </si>
  <si>
    <t>SESS-1921</t>
  </si>
  <si>
    <t>2026-07-31 11:12:00</t>
  </si>
  <si>
    <t>Summarize the most recent safety signal review for AGN-1114.</t>
  </si>
  <si>
    <t>LOG-00013</t>
  </si>
  <si>
    <t>SESS-1342</t>
  </si>
  <si>
    <t>2026-08-17 21:37:00</t>
  </si>
  <si>
    <t>LOG-00014</t>
  </si>
  <si>
    <t>SESS-1608</t>
  </si>
  <si>
    <t>2026-06-02 18:31:00</t>
  </si>
  <si>
    <t>Draft a status report for TRL-0033 for the portfolio committee.</t>
  </si>
  <si>
    <t>Computed similarity score and returned top 5 candidate compounds.</t>
  </si>
  <si>
    <t>LOG-00015</t>
  </si>
  <si>
    <t>SESS-1483</t>
  </si>
  <si>
    <t>2026-07-16 01:23:00</t>
  </si>
  <si>
    <t>Escalate any serious adverse events for TRL-0079 to the safety team.</t>
  </si>
  <si>
    <t>LOG-00016</t>
  </si>
  <si>
    <t>SESS-1855</t>
  </si>
  <si>
    <t>2026-07-23 21:54:00</t>
  </si>
  <si>
    <t>Which Phase II trials for Immunology are currently below 60% enrollment?</t>
  </si>
  <si>
    <t>LOG-00017</t>
  </si>
  <si>
    <t>SESS-1793</t>
  </si>
  <si>
    <t>2026-06-27 16:25:00</t>
  </si>
  <si>
    <t>Show me the lab results trend for AGN-1120 over the last 6 months.</t>
  </si>
  <si>
    <t>LOG-00018</t>
  </si>
  <si>
    <t>SESS-1502</t>
  </si>
  <si>
    <t>2026-08-22 09:30:00</t>
  </si>
  <si>
    <t>Draft a status report for TRL-0002 for the portfolio committee.</t>
  </si>
  <si>
    <t>LOG-00019</t>
  </si>
  <si>
    <t>SESS-1259</t>
  </si>
  <si>
    <t>2026-08-28 13:31:00</t>
  </si>
  <si>
    <t>Show me the lab results trend for SNF-1020 over the last 6 months.</t>
  </si>
  <si>
    <t>LOG-00020</t>
  </si>
  <si>
    <t>SESS-1912</t>
  </si>
  <si>
    <t>2026-07-31 18:07:00</t>
  </si>
  <si>
    <t>Which Phase II trials for Neurology are currently below 60% enrollment?</t>
  </si>
  <si>
    <t>LOG-00021</t>
  </si>
  <si>
    <t>SESS-1745</t>
  </si>
  <si>
    <t>2026-07-20 03:22:00</t>
  </si>
  <si>
    <t>Escalate any serious adverse events for TRL-0078 to the safety team.</t>
  </si>
  <si>
    <t>LOG-00022</t>
  </si>
  <si>
    <t>SESS-1145</t>
  </si>
  <si>
    <t>2026-07-11 02:18:00</t>
  </si>
  <si>
    <t>What adverse events have been reported most frequently for Immunology trials this year?</t>
  </si>
  <si>
    <t>LOG-00023</t>
  </si>
  <si>
    <t>SESS-1368</t>
  </si>
  <si>
    <t>2026-08-18 09:50:00</t>
  </si>
  <si>
    <t>Which Phase II trials for Metabolic Disease are currently below 60% enrollment?</t>
  </si>
  <si>
    <t>LOG-00024</t>
  </si>
  <si>
    <t>SESS-1988</t>
  </si>
  <si>
    <t>2026-06-20 15:33:00</t>
  </si>
  <si>
    <t>Summarize the most recent safety signal review for PSA-1003.</t>
  </si>
  <si>
    <t>LOG-00025</t>
  </si>
  <si>
    <t>SESS-1695</t>
  </si>
  <si>
    <t>2026-07-02 20:22:00</t>
  </si>
  <si>
    <t>Show me the lab results trend for SNF-1137 over the last 6 months.</t>
  </si>
  <si>
    <t>LOG-00026</t>
  </si>
  <si>
    <t>SESS-1316</t>
  </si>
  <si>
    <t>2026-07-21 06:56:00</t>
  </si>
  <si>
    <t>Is there a hERG cardiotoxicity risk flagged for DKU-1089?</t>
  </si>
  <si>
    <t>LOG-00027</t>
  </si>
  <si>
    <t>SESS-1854</t>
  </si>
  <si>
    <t>2026-08-02 11:47:00</t>
  </si>
  <si>
    <t>Escalate any serious adverse events for TRL-0009 to the safety team.</t>
  </si>
  <si>
    <t>LOG-00028</t>
  </si>
  <si>
    <t>SESS-1992</t>
  </si>
  <si>
    <t>2026-08-03 04:03:00</t>
  </si>
  <si>
    <t>Is there a hERG cardiotoxicity risk flagged for DKU-1132?</t>
  </si>
  <si>
    <t>LOG-00029</t>
  </si>
  <si>
    <t>SESS-1296</t>
  </si>
  <si>
    <t>2026-06-28 08:21:00</t>
  </si>
  <si>
    <t>What adverse events have been reported most frequently for Neurology trials this year?</t>
  </si>
  <si>
    <t>LOG-00030</t>
  </si>
  <si>
    <t>SESS-1066</t>
  </si>
  <si>
    <t>2026-07-23 11:25:00</t>
  </si>
  <si>
    <t>What adverse events have been reported most frequently for Oncology trials this year?</t>
  </si>
  <si>
    <t>LOG-00031</t>
  </si>
  <si>
    <t>SESS-1845</t>
  </si>
  <si>
    <t>2026-07-22 12:31:00</t>
  </si>
  <si>
    <t>How many sites are actively recruiting for Cardiology programs?</t>
  </si>
  <si>
    <t>LOG-00032</t>
  </si>
  <si>
    <t>SESS-1676</t>
  </si>
  <si>
    <t>2026-06-01 22:14:00</t>
  </si>
  <si>
    <t>LOG-00033</t>
  </si>
  <si>
    <t>SESS-1804</t>
  </si>
  <si>
    <t>2026-07-22 13:36:00</t>
  </si>
  <si>
    <t>Draft a status report for TRL-0022 for the portfolio committee.</t>
  </si>
  <si>
    <t>LOG-00034</t>
  </si>
  <si>
    <t>SESS-1146</t>
  </si>
  <si>
    <t>2026-07-20 06:34:00</t>
  </si>
  <si>
    <t>Show me the lab results trend for SNF-1125 over the last 6 months.</t>
  </si>
  <si>
    <t>LOG-00035</t>
  </si>
  <si>
    <t>2026-07-23 22:32:00</t>
  </si>
  <si>
    <t>Is there a hERG cardiotoxicity risk flagged for RX-1073?</t>
  </si>
  <si>
    <t>LOG-00036</t>
  </si>
  <si>
    <t>SESS-1432</t>
  </si>
  <si>
    <t>2026-08-10 07:30:00</t>
  </si>
  <si>
    <t>What did the latest literature review say about HER2 inhibitors?</t>
  </si>
  <si>
    <t>LOG-00037</t>
  </si>
  <si>
    <t>SESS-1177</t>
  </si>
  <si>
    <t>2026-07-27 13:37:00</t>
  </si>
  <si>
    <t>Draft a status report for TRL-0066 for the portfolio committee.</t>
  </si>
  <si>
    <t>LOG-00038</t>
  </si>
  <si>
    <t>SESS-1256</t>
  </si>
  <si>
    <t>2026-07-07 07:39:00</t>
  </si>
  <si>
    <t>What did the latest literature review say about NLRP3 inhibitors?</t>
  </si>
  <si>
    <t>LOG-00039</t>
  </si>
  <si>
    <t>SESS-1087</t>
  </si>
  <si>
    <t>2026-07-26 12:32:00</t>
  </si>
  <si>
    <t>Show me the lab results trend for VLX-1123 over the last 6 months.</t>
  </si>
  <si>
    <t>LOG-00040</t>
  </si>
  <si>
    <t>SESS-1801</t>
  </si>
  <si>
    <t>2026-08-08 10:37:00</t>
  </si>
  <si>
    <t>How many sites are actively recruiting for Metabolic Disease programs?</t>
  </si>
  <si>
    <t>LOG-00041</t>
  </si>
  <si>
    <t>SESS-1515</t>
  </si>
  <si>
    <t>2026-07-28 00:39:00</t>
  </si>
  <si>
    <t>LOG-00042</t>
  </si>
  <si>
    <t>SESS-1984</t>
  </si>
  <si>
    <t>2026-08-17 20:30:00</t>
  </si>
  <si>
    <t>What did the latest literature review say about SGLT2 inhibitors?</t>
  </si>
  <si>
    <t>LOG-00043</t>
  </si>
  <si>
    <t>SESS-1090</t>
  </si>
  <si>
    <t>2026-08-16 15:01:00</t>
  </si>
  <si>
    <t>LOG-00044</t>
  </si>
  <si>
    <t>SESS-1382</t>
  </si>
  <si>
    <t>2026-09-02 05:51:00</t>
  </si>
  <si>
    <t>Draft a status report for TRL-0016 for the portfolio committee.</t>
  </si>
  <si>
    <t>LOG-00045</t>
  </si>
  <si>
    <t>SESS-1773</t>
  </si>
  <si>
    <t>2026-06-10 17:54:00</t>
  </si>
  <si>
    <t>Show me the lab results trend for PSA-1057 over the last 6 months.</t>
  </si>
  <si>
    <t>LOG-00046</t>
  </si>
  <si>
    <t>SESS-1826</t>
  </si>
  <si>
    <t>2026-08-24 06:02:00</t>
  </si>
  <si>
    <t>Is there a hERG cardiotoxicity risk flagged for DKU-1148?</t>
  </si>
  <si>
    <t>LOG-00047</t>
  </si>
  <si>
    <t>SESS-1849</t>
  </si>
  <si>
    <t>2026-07-20 04:24:00</t>
  </si>
  <si>
    <t>LOG-00048</t>
  </si>
  <si>
    <t>SESS-1579</t>
  </si>
  <si>
    <t>2026-07-23 21:32:00</t>
  </si>
  <si>
    <t>LOG-00049</t>
  </si>
  <si>
    <t>SESS-1757</t>
  </si>
  <si>
    <t>2026-09-01 23:48:00</t>
  </si>
  <si>
    <t>What did the latest literature review say about GLP-1R inhibitors?</t>
  </si>
  <si>
    <t>LOG-00050</t>
  </si>
  <si>
    <t>SESS-1139</t>
  </si>
  <si>
    <t>2026-08-30 04:01:00</t>
  </si>
  <si>
    <t>Find compounds similar to DKU-1018 targeting NLRP3.</t>
  </si>
  <si>
    <t>LOG-00051</t>
  </si>
  <si>
    <t>SESS-1736</t>
  </si>
  <si>
    <t>2026-07-27 14:18:00</t>
  </si>
  <si>
    <t>LOG-00052</t>
  </si>
  <si>
    <t>SESS-1068</t>
  </si>
  <si>
    <t>2026-06-21 21:10:00</t>
  </si>
  <si>
    <t>Escalate any serious adverse events for TRL-0006 to the safety team.</t>
  </si>
  <si>
    <t>LOG-00053</t>
  </si>
  <si>
    <t>SESS-1253</t>
  </si>
  <si>
    <t>2026-06-18 15:12:00</t>
  </si>
  <si>
    <t>Escalate any serious adverse events for TRL-0081 to the safety team.</t>
  </si>
  <si>
    <t>LOG-00054</t>
  </si>
  <si>
    <t>SESS-1454</t>
  </si>
  <si>
    <t>2026-09-01 01:53:00</t>
  </si>
  <si>
    <t>How many sites are actively recruiting for Neurology programs?</t>
  </si>
  <si>
    <t>LOG-00055</t>
  </si>
  <si>
    <t>SESS-1188</t>
  </si>
  <si>
    <t>2026-08-28 01:24:00</t>
  </si>
  <si>
    <t>Summarize the most recent safety signal review for DKU-1132.</t>
  </si>
  <si>
    <t>LOG-00056</t>
  </si>
  <si>
    <t>SESS-1879</t>
  </si>
  <si>
    <t>2026-08-19 22:35:00</t>
  </si>
  <si>
    <t>Draft a status report for TRL-0026 for the portfolio committee.</t>
  </si>
  <si>
    <t>LOG-00057</t>
  </si>
  <si>
    <t>SESS-1838</t>
  </si>
  <si>
    <t>2026-06-04 22:37:00</t>
  </si>
  <si>
    <t>Summarize the most recent safety signal review for DKU-1061.</t>
  </si>
  <si>
    <t>LOG-00058</t>
  </si>
  <si>
    <t>SESS-1205</t>
  </si>
  <si>
    <t>2026-09-08 12:29:00</t>
  </si>
  <si>
    <t>Find compounds similar to AGN-1043 targeting VEGFR2.</t>
  </si>
  <si>
    <t>LOG-00059</t>
  </si>
  <si>
    <t>SESS-1982</t>
  </si>
  <si>
    <t>2026-06-19 04:59:00</t>
  </si>
  <si>
    <t>Draft a status report for TRL-0089 for the portfolio committee.</t>
  </si>
  <si>
    <t>LOG-00060</t>
  </si>
  <si>
    <t>SESS-1395</t>
  </si>
  <si>
    <t>2026-08-11 05:07:00</t>
  </si>
  <si>
    <t>What did the latest literature review say about IL-6R inhibitors?</t>
  </si>
  <si>
    <t>LOG-00061</t>
  </si>
  <si>
    <t>SESS-1290</t>
  </si>
  <si>
    <t>2026-08-17 08:07:00</t>
  </si>
  <si>
    <t>How many sites are actively recruiting for Infectious Disease programs?</t>
  </si>
  <si>
    <t>LOG-00062</t>
  </si>
  <si>
    <t>SESS-1666</t>
  </si>
  <si>
    <t>2026-07-26 02:47:00</t>
  </si>
  <si>
    <t>Escalate any serious adverse events for TRL-0087 to the safety team.</t>
  </si>
  <si>
    <t>LOG-00063</t>
  </si>
  <si>
    <t>SESS-1479</t>
  </si>
  <si>
    <t>2026-06-26 08:37:00</t>
  </si>
  <si>
    <t>LOG-00064</t>
  </si>
  <si>
    <t>SESS-1512</t>
  </si>
  <si>
    <t>2026-08-05 03:01:00</t>
  </si>
  <si>
    <t>Draft a status report for TRL-0018 for the portfolio committee.</t>
  </si>
  <si>
    <t>LOG-00065</t>
  </si>
  <si>
    <t>SESS-1525</t>
  </si>
  <si>
    <t>2026-08-11 02:39:00</t>
  </si>
  <si>
    <t>What did the latest literature review say about BTK inhibitors?</t>
  </si>
  <si>
    <t>LOG-00066</t>
  </si>
  <si>
    <t>SESS-1470</t>
  </si>
  <si>
    <t>2026-08-01 18:23:00</t>
  </si>
  <si>
    <t>LOG-00067</t>
  </si>
  <si>
    <t>SESS-1069</t>
  </si>
  <si>
    <t>2026-08-11 17:06:00</t>
  </si>
  <si>
    <t>Draft a status report for TRL-0063 for the portfolio committee.</t>
  </si>
  <si>
    <t>LOG-00068</t>
  </si>
  <si>
    <t>SESS-1949</t>
  </si>
  <si>
    <t>2026-07-03 20:04:00</t>
  </si>
  <si>
    <t>Is there a hERG cardiotoxicity risk flagged for RX-1112?</t>
  </si>
  <si>
    <t>LOG-00069</t>
  </si>
  <si>
    <t>SESS-1602</t>
  </si>
  <si>
    <t>2026-07-29 23:54:00</t>
  </si>
  <si>
    <t>Show me the lab results trend for DKU-1039 over the last 6 months.</t>
  </si>
  <si>
    <t>LOG-00070</t>
  </si>
  <si>
    <t>2026-08-13 12:06:00</t>
  </si>
  <si>
    <t>Escalate any serious adverse events for TRL-0047 to the safety team.</t>
  </si>
  <si>
    <t>LOG-00071</t>
  </si>
  <si>
    <t>SESS-1511</t>
  </si>
  <si>
    <t>2026-06-20 08:05:00</t>
  </si>
  <si>
    <t>What adverse events have been reported most frequently for Infectious Disease trials this year?</t>
  </si>
  <si>
    <t>LOG-00072</t>
  </si>
  <si>
    <t>SESS-1107</t>
  </si>
  <si>
    <t>2026-07-14 01:47:00</t>
  </si>
  <si>
    <t>What did the latest literature review say about BCL-2 inhibitors?</t>
  </si>
  <si>
    <t>LOG-00073</t>
  </si>
  <si>
    <t>SESS-1117</t>
  </si>
  <si>
    <t>2026-06-12 06:33:00</t>
  </si>
  <si>
    <t>Is there a hERG cardiotoxicity risk flagged for VLX-1042?</t>
  </si>
  <si>
    <t>LOG-00074</t>
  </si>
  <si>
    <t>SESS-1860</t>
  </si>
  <si>
    <t>2026-08-08 03:26:00</t>
  </si>
  <si>
    <t>Summarize the most recent safety signal review for VLX-1000.</t>
  </si>
  <si>
    <t>LOG-00075</t>
  </si>
  <si>
    <t>SESS-1386</t>
  </si>
  <si>
    <t>2026-08-21 19:56:00</t>
  </si>
  <si>
    <t>LOG-00076</t>
  </si>
  <si>
    <t>SESS-1258</t>
  </si>
  <si>
    <t>2026-07-06 15:06:00</t>
  </si>
  <si>
    <t>Escalate any serious adverse events for TRL-0063 to the safety team.</t>
  </si>
  <si>
    <t>LOG-00077</t>
  </si>
  <si>
    <t>SESS-1444</t>
  </si>
  <si>
    <t>2026-06-30 12:10:00</t>
  </si>
  <si>
    <t>Draft a status report for TRL-0094 for the portfolio committee.</t>
  </si>
  <si>
    <t>LOG-00078</t>
  </si>
  <si>
    <t>SESS-1208</t>
  </si>
  <si>
    <t>2026-06-18 12:19:00</t>
  </si>
  <si>
    <t>Summarize the most recent safety signal review for AGN-1104.</t>
  </si>
  <si>
    <t>LOG-00079</t>
  </si>
  <si>
    <t>SESS-1581</t>
  </si>
  <si>
    <t>2026-08-14 06:41:00</t>
  </si>
  <si>
    <t>Which Phase II trials for Infectious Disease are currently below 60% enrollment?</t>
  </si>
  <si>
    <t>LOG-00080</t>
  </si>
  <si>
    <t>SESS-1508</t>
  </si>
  <si>
    <t>2026-09-05 03:32:00</t>
  </si>
  <si>
    <t>LOG-00081</t>
  </si>
  <si>
    <t>2026-08-04 02:22:00</t>
  </si>
  <si>
    <t>Escalate any serious adverse events for TRL-0076 to the safety team.</t>
  </si>
  <si>
    <t>LOG-00082</t>
  </si>
  <si>
    <t>SESS-1582</t>
  </si>
  <si>
    <t>2026-08-08 11:17:00</t>
  </si>
  <si>
    <t>Summarize the most recent safety signal review for VLX-1096.</t>
  </si>
  <si>
    <t>LOG-00083</t>
  </si>
  <si>
    <t>SESS-1510</t>
  </si>
  <si>
    <t>2026-06-22 11:13:00</t>
  </si>
  <si>
    <t>Show me the lab results trend for DKU-1084 over the last 6 months.</t>
  </si>
  <si>
    <t>LOG-00084</t>
  </si>
  <si>
    <t>SESS-1229</t>
  </si>
  <si>
    <t>2026-06-05 02:29:00</t>
  </si>
  <si>
    <t>LOG-00085</t>
  </si>
  <si>
    <t>SESS-1893</t>
  </si>
  <si>
    <t>2026-06-13 08:53:00</t>
  </si>
  <si>
    <t>Is there a hERG cardiotoxicity risk flagged for PSA-1055?</t>
  </si>
  <si>
    <t>LOG-00086</t>
  </si>
  <si>
    <t>SESS-1873</t>
  </si>
  <si>
    <t>2026-07-14 22:41:00</t>
  </si>
  <si>
    <t>Summarize the most recent safety signal review for PSA-1133.</t>
  </si>
  <si>
    <t>LOG-00087</t>
  </si>
  <si>
    <t>SESS-1559</t>
  </si>
  <si>
    <t>2026-06-11 07:29:00</t>
  </si>
  <si>
    <t>Show me the lab results trend for DKU-1024 over the last 6 months.</t>
  </si>
  <si>
    <t>LOG-00088</t>
  </si>
  <si>
    <t>SESS-1431</t>
  </si>
  <si>
    <t>2026-06-06 10:58:00</t>
  </si>
  <si>
    <t>Escalate any serious adverse events for TRL-0064 to the safety team.</t>
  </si>
  <si>
    <t>LOG-00089</t>
  </si>
  <si>
    <t>SESS-1560</t>
  </si>
  <si>
    <t>2026-07-08 04:18:00</t>
  </si>
  <si>
    <t>What did the latest literature review say about PCSK9 inhibitors?</t>
  </si>
  <si>
    <t>LOG-00090</t>
  </si>
  <si>
    <t>SESS-1824</t>
  </si>
  <si>
    <t>2026-06-14 06:33:00</t>
  </si>
  <si>
    <t>LOG-00091</t>
  </si>
  <si>
    <t>SESS-1612</t>
  </si>
  <si>
    <t>2026-08-15 18:34:00</t>
  </si>
  <si>
    <t>LOG-00092</t>
  </si>
  <si>
    <t>SESS-1277</t>
  </si>
  <si>
    <t>2026-06-24 13:38:00</t>
  </si>
  <si>
    <t>Summarize the most recent safety signal review for RX-1112.</t>
  </si>
  <si>
    <t>LOG-00093</t>
  </si>
  <si>
    <t>SESS-1230</t>
  </si>
  <si>
    <t>2026-09-01 09:45:00</t>
  </si>
  <si>
    <t>Summarize the most recent safety signal review for DKU-1124.</t>
  </si>
  <si>
    <t>LOG-00094</t>
  </si>
  <si>
    <t>SESS-1056</t>
  </si>
  <si>
    <t>2026-07-12 11:04:00</t>
  </si>
  <si>
    <t>Is there a hERG cardiotoxicity risk flagged for RX-1041?</t>
  </si>
  <si>
    <t>LOG-00095</t>
  </si>
  <si>
    <t>SESS-1698</t>
  </si>
  <si>
    <t>2026-08-09 01:34:00</t>
  </si>
  <si>
    <t>Show me the lab results trend for DKU-1087 over the last 6 months.</t>
  </si>
  <si>
    <t>LOG-00096</t>
  </si>
  <si>
    <t>SESS-1396</t>
  </si>
  <si>
    <t>2026-06-10 11:48:00</t>
  </si>
  <si>
    <t>LOG-00097</t>
  </si>
  <si>
    <t>SESS-1118</t>
  </si>
  <si>
    <t>2026-08-17 16:51:00</t>
  </si>
  <si>
    <t>LOG-00098</t>
  </si>
  <si>
    <t>SESS-1351</t>
  </si>
  <si>
    <t>2026-07-06 06:03:00</t>
  </si>
  <si>
    <t>Escalate any serious adverse events for TRL-0073 to the safety team.</t>
  </si>
  <si>
    <t>LOG-00099</t>
  </si>
  <si>
    <t>SESS-1232</t>
  </si>
  <si>
    <t>2026-06-02 19:54:00</t>
  </si>
  <si>
    <t>Find compounds similar to SNF-1080 targeting mTOR.</t>
  </si>
  <si>
    <t>LOG-00100</t>
  </si>
  <si>
    <t>SESS-1894</t>
  </si>
  <si>
    <t>2026-06-03 17:05:00</t>
  </si>
  <si>
    <t>Show me the lab results trend for SNF-1053 over the last 6 months.</t>
  </si>
  <si>
    <t>LOG-00101</t>
  </si>
  <si>
    <t>SESS-1449</t>
  </si>
  <si>
    <t>2026-06-24 01:37:00</t>
  </si>
  <si>
    <t>LOG-00102</t>
  </si>
  <si>
    <t>SESS-1299</t>
  </si>
  <si>
    <t>2026-07-15 11:07:00</t>
  </si>
  <si>
    <t>LOG-00103</t>
  </si>
  <si>
    <t>SESS-1078</t>
  </si>
  <si>
    <t>2026-06-23 06:40:00</t>
  </si>
  <si>
    <t>Is there a hERG cardiotoxicity risk flagged for DKU-1072?</t>
  </si>
  <si>
    <t>LOG-00104</t>
  </si>
  <si>
    <t>2026-08-04 23:34:00</t>
  </si>
  <si>
    <t>Find compounds similar to DKU-1061 targeting SGLT2.</t>
  </si>
  <si>
    <t>LOG-00105</t>
  </si>
  <si>
    <t>SESS-1889</t>
  </si>
  <si>
    <t>2026-07-24 06:45:00</t>
  </si>
  <si>
    <t>Draft a status report for TRL-0061 for the portfolio committee.</t>
  </si>
  <si>
    <t>LOG-00106</t>
  </si>
  <si>
    <t>2026-09-07 13:29:00</t>
  </si>
  <si>
    <t>Show me the lab results trend for PSA-1026 over the last 6 months.</t>
  </si>
  <si>
    <t>LOG-00107</t>
  </si>
  <si>
    <t>2026-08-28 12:16:00</t>
  </si>
  <si>
    <t>What did the latest literature review say about TNF-alpha inhibitors?</t>
  </si>
  <si>
    <t>LOG-00108</t>
  </si>
  <si>
    <t>SESS-1125</t>
  </si>
  <si>
    <t>2026-07-09 08:51:00</t>
  </si>
  <si>
    <t>Find compounds similar to RX-1073 targeting KRAS G12C.</t>
  </si>
  <si>
    <t>LOG-00109</t>
  </si>
  <si>
    <t>SESS-1665</t>
  </si>
  <si>
    <t>2026-08-20 03:36:00</t>
  </si>
  <si>
    <t>LOG-00110</t>
  </si>
  <si>
    <t>2026-06-07 03:28:00</t>
  </si>
  <si>
    <t>LOG-00111</t>
  </si>
  <si>
    <t>2026-08-09 21:26:00</t>
  </si>
  <si>
    <t>Summarize the most recent safety signal review for DKU-1058.</t>
  </si>
  <si>
    <t>LOG-00112</t>
  </si>
  <si>
    <t>2026-07-11 20:37:00</t>
  </si>
  <si>
    <t>Is there a hERG cardiotoxicity risk flagged for SNF-1092?</t>
  </si>
  <si>
    <t>LOG-00113</t>
  </si>
  <si>
    <t>SESS-1032</t>
  </si>
  <si>
    <t>2026-07-26 13:12:00</t>
  </si>
  <si>
    <t>Show me the lab results trend for PSA-1033 over the last 6 months.</t>
  </si>
  <si>
    <t>LOG-00114</t>
  </si>
  <si>
    <t>SESS-1944</t>
  </si>
  <si>
    <t>2026-08-01 04:57:00</t>
  </si>
  <si>
    <t>LOG-00115</t>
  </si>
  <si>
    <t>SESS-1886</t>
  </si>
  <si>
    <t>2026-08-19 00:30:00</t>
  </si>
  <si>
    <t>Find compounds similar to PSA-1003 targeting BCL-2.</t>
  </si>
  <si>
    <t>LOG-00116</t>
  </si>
  <si>
    <t>SESS-1975</t>
  </si>
  <si>
    <t>2026-08-10 15:40:00</t>
  </si>
  <si>
    <t>LOG-00117</t>
  </si>
  <si>
    <t>SESS-1586</t>
  </si>
  <si>
    <t>2026-08-17 03:45:00</t>
  </si>
  <si>
    <t>Draft a status report for TRL-0071 for the portfolio committee.</t>
  </si>
  <si>
    <t>LOG-00118</t>
  </si>
  <si>
    <t>SESS-1478</t>
  </si>
  <si>
    <t>2026-08-09 09:53:00</t>
  </si>
  <si>
    <t>Show me the lab results trend for RX-1025 over the last 6 months.</t>
  </si>
  <si>
    <t>LOG-00119</t>
  </si>
  <si>
    <t>2026-07-20 22:50:00</t>
  </si>
  <si>
    <t>LOG-00120</t>
  </si>
  <si>
    <t>SESS-1039</t>
  </si>
  <si>
    <t>2026-08-11 20:02:00</t>
  </si>
  <si>
    <t>Draft a status report for TRL-0029 for the portfolio committee.</t>
  </si>
  <si>
    <t>LOG-00121</t>
  </si>
  <si>
    <t>2026-07-16 14:30:00</t>
  </si>
  <si>
    <t>LOG-00122</t>
  </si>
  <si>
    <t>SESS-1856</t>
  </si>
  <si>
    <t>2026-07-29 10:25:00</t>
  </si>
  <si>
    <t>LOG-00123</t>
  </si>
  <si>
    <t>SESS-1037</t>
  </si>
  <si>
    <t>2026-08-20 01:59:00</t>
  </si>
  <si>
    <t>LOG-00124</t>
  </si>
  <si>
    <t>SESS-1593</t>
  </si>
  <si>
    <t>2026-06-11 15:57:00</t>
  </si>
  <si>
    <t>Show me the lab results trend for PSA-1064 over the last 6 months.</t>
  </si>
  <si>
    <t>LOG-00125</t>
  </si>
  <si>
    <t>SESS-1451</t>
  </si>
  <si>
    <t>2026-06-12 15:48:00</t>
  </si>
  <si>
    <t>Escalate any serious adverse events for TRL-0051 to the safety team.</t>
  </si>
  <si>
    <t>LOG-00126</t>
  </si>
  <si>
    <t>SESS-1130</t>
  </si>
  <si>
    <t>2026-08-30 02:22:00</t>
  </si>
  <si>
    <t>Draft a status report for TRL-0068 for the portfolio committee.</t>
  </si>
  <si>
    <t>LOG-00127</t>
  </si>
  <si>
    <t>SESS-1238</t>
  </si>
  <si>
    <t>2026-06-10 00:37:00</t>
  </si>
  <si>
    <t>What adverse events have been reported most frequently for Metabolic Disease trials this year?</t>
  </si>
  <si>
    <t>LOG-00128</t>
  </si>
  <si>
    <t>SESS-1881</t>
  </si>
  <si>
    <t>2026-09-01 05:53:00</t>
  </si>
  <si>
    <t>LOG-00129</t>
  </si>
  <si>
    <t>SESS-1062</t>
  </si>
  <si>
    <t>2026-07-12 11:56:00</t>
  </si>
  <si>
    <t>LOG-00130</t>
  </si>
  <si>
    <t>SESS-1553</t>
  </si>
  <si>
    <t>2026-08-04 07:44:00</t>
  </si>
  <si>
    <t>Draft a status report for TRL-0044 for the portfolio committee.</t>
  </si>
  <si>
    <t>LOG-00131</t>
  </si>
  <si>
    <t>SESS-1079</t>
  </si>
  <si>
    <t>2026-06-20 20:56:00</t>
  </si>
  <si>
    <t>Escalate any serious adverse events for TRL-0024 to the safety team.</t>
  </si>
  <si>
    <t>LOG-00132</t>
  </si>
  <si>
    <t>2026-07-14 03:22:00</t>
  </si>
  <si>
    <t>Summarize the most recent safety signal review for DKU-1024.</t>
  </si>
  <si>
    <t>LOG-00133</t>
  </si>
  <si>
    <t>SESS-1657</t>
  </si>
  <si>
    <t>2026-06-13 23:55:00</t>
  </si>
  <si>
    <t>LOG-00134</t>
  </si>
  <si>
    <t>SESS-1343</t>
  </si>
  <si>
    <t>2026-08-05 14:07:00</t>
  </si>
  <si>
    <t>LOG-00135</t>
  </si>
  <si>
    <t>SESS-1045</t>
  </si>
  <si>
    <t>2026-06-06 16:07:00</t>
  </si>
  <si>
    <t>LOG-00136</t>
  </si>
  <si>
    <t>SESS-1827</t>
  </si>
  <si>
    <t>2026-07-09 11:58:00</t>
  </si>
  <si>
    <t>Escalate any serious adverse events for TRL-0021 to the safety team.</t>
  </si>
  <si>
    <t>LOG-00137</t>
  </si>
  <si>
    <t>SESS-1962</t>
  </si>
  <si>
    <t>2026-08-02 15:11:00</t>
  </si>
  <si>
    <t>Show me the lab results trend for AGN-1106 over the last 6 months.</t>
  </si>
  <si>
    <t>LOG-00138</t>
  </si>
  <si>
    <t>SESS-1390</t>
  </si>
  <si>
    <t>2026-06-28 07:41:00</t>
  </si>
  <si>
    <t>Escalate any serious adverse events for TRL-0077 to the safety team.</t>
  </si>
  <si>
    <t>LOG-00139</t>
  </si>
  <si>
    <t>SESS-1588</t>
  </si>
  <si>
    <t>2026-08-31 15:48:00</t>
  </si>
  <si>
    <t>Summarize the most recent safety signal review for DKU-1009.</t>
  </si>
  <si>
    <t>LOG-00140</t>
  </si>
  <si>
    <t>SESS-1867</t>
  </si>
  <si>
    <t>2026-06-23 01:42:00</t>
  </si>
  <si>
    <t>Is there a hERG cardiotoxicity risk flagged for VLX-1036?</t>
  </si>
  <si>
    <t>LOG-00141</t>
  </si>
  <si>
    <t>SESS-1324</t>
  </si>
  <si>
    <t>2026-09-04 11:20:00</t>
  </si>
  <si>
    <t>Escalate any serious adverse events for TRL-0098 to the safety team.</t>
  </si>
  <si>
    <t>LOG-00142</t>
  </si>
  <si>
    <t>SESS-1248</t>
  </si>
  <si>
    <t>2026-07-30 20:02:00</t>
  </si>
  <si>
    <t>LOG-00143</t>
  </si>
  <si>
    <t>SESS-1709</t>
  </si>
  <si>
    <t>2026-06-22 00:15:00</t>
  </si>
  <si>
    <t>LOG-00144</t>
  </si>
  <si>
    <t>SESS-1573</t>
  </si>
  <si>
    <t>2026-08-04 01:50:00</t>
  </si>
  <si>
    <t>Is there a hERG cardiotoxicity risk flagged for DKU-1056?</t>
  </si>
  <si>
    <t>LOG-00145</t>
  </si>
  <si>
    <t>SESS-1459</t>
  </si>
  <si>
    <t>2026-07-12 22:24:00</t>
  </si>
  <si>
    <t>LOG-00146</t>
  </si>
  <si>
    <t>SESS-1795</t>
  </si>
  <si>
    <t>2026-07-15 14:10:00</t>
  </si>
  <si>
    <t>Escalate any serious adverse events for TRL-0057 to the safety team.</t>
  </si>
  <si>
    <t>LOG-00147</t>
  </si>
  <si>
    <t>SESS-1814</t>
  </si>
  <si>
    <t>2026-07-18 09:10:00</t>
  </si>
  <si>
    <t>Escalate any serious adverse events for TRL-0040 to the safety team.</t>
  </si>
  <si>
    <t>LOG-00148</t>
  </si>
  <si>
    <t>2026-08-14 08:46:00</t>
  </si>
  <si>
    <t>LOG-00149</t>
  </si>
  <si>
    <t>SESS-1897</t>
  </si>
  <si>
    <t>2026-07-07 01:31:00</t>
  </si>
  <si>
    <t>Escalate any serious adverse events for TRL-0069 to the safety team.</t>
  </si>
  <si>
    <t>LOG-00150</t>
  </si>
  <si>
    <t>SESS-1783</t>
  </si>
  <si>
    <t>2026-07-18 22:42:00</t>
  </si>
  <si>
    <t>LOG-00151</t>
  </si>
  <si>
    <t>SESS-1890</t>
  </si>
  <si>
    <t>2026-06-24 00:14:00</t>
  </si>
  <si>
    <t>How many sites are actively recruiting for Immunology programs?</t>
  </si>
  <si>
    <t>LOG-00152</t>
  </si>
  <si>
    <t>SESS-1135</t>
  </si>
  <si>
    <t>2026-06-14 07:00:00</t>
  </si>
  <si>
    <t>LOG-00153</t>
  </si>
  <si>
    <t>SESS-1570</t>
  </si>
  <si>
    <t>2026-06-24 04:51:00</t>
  </si>
  <si>
    <t>Is there a hERG cardiotoxicity risk flagged for DKU-1069?</t>
  </si>
  <si>
    <t>LOG-00154</t>
  </si>
  <si>
    <t>SESS-1605</t>
  </si>
  <si>
    <t>2026-08-01 06:48:00</t>
  </si>
  <si>
    <t>Draft a status report for TRL-0043 for the portfolio committee.</t>
  </si>
  <si>
    <t>LOG-00155</t>
  </si>
  <si>
    <t>SESS-1756</t>
  </si>
  <si>
    <t>2026-06-14 10:13:00</t>
  </si>
  <si>
    <t>Summarize the most recent safety signal review for DKU-1070.</t>
  </si>
  <si>
    <t>LOG-00156</t>
  </si>
  <si>
    <t>2026-08-19 07:33:00</t>
  </si>
  <si>
    <t>Is there a hERG cardiotoxicity risk flagged for DKU-1001?</t>
  </si>
  <si>
    <t>LOG-00157</t>
  </si>
  <si>
    <t>SESS-1085</t>
  </si>
  <si>
    <t>2026-09-01 17:29:00</t>
  </si>
  <si>
    <t>LOG-00158</t>
  </si>
  <si>
    <t>SESS-1388</t>
  </si>
  <si>
    <t>2026-08-22 13:29:00</t>
  </si>
  <si>
    <t>Escalate any serious adverse events for TRL-0018 to the safety team.</t>
  </si>
  <si>
    <t>LOG-00159</t>
  </si>
  <si>
    <t>SESS-1967</t>
  </si>
  <si>
    <t>2026-07-21 20:16:00</t>
  </si>
  <si>
    <t>What adverse events have been reported most frequently for Cardiology trials this year?</t>
  </si>
  <si>
    <t>LOG-00160</t>
  </si>
  <si>
    <t>SESS-1918</t>
  </si>
  <si>
    <t>2026-06-09 18:58:00</t>
  </si>
  <si>
    <t>Draft a status report for TRL-0014 for the portfolio committee.</t>
  </si>
  <si>
    <t>LOG-00161</t>
  </si>
  <si>
    <t>SESS-1775</t>
  </si>
  <si>
    <t>2026-07-29 18:20:00</t>
  </si>
  <si>
    <t>Show me the lab results trend for AGN-1095 over the last 6 months.</t>
  </si>
  <si>
    <t>LOG-00162</t>
  </si>
  <si>
    <t>SESS-1440</t>
  </si>
  <si>
    <t>2026-07-09 08:28:00</t>
  </si>
  <si>
    <t>LOG-00163</t>
  </si>
  <si>
    <t>SESS-1355</t>
  </si>
  <si>
    <t>2026-06-19 02:34:00</t>
  </si>
  <si>
    <t>Escalate any serious adverse events for TRL-0046 to the safety team.</t>
  </si>
  <si>
    <t>LOG-00164</t>
  </si>
  <si>
    <t>2026-08-28 14:08:00</t>
  </si>
  <si>
    <t>Summarize the most recent safety signal review for SNF-1092.</t>
  </si>
  <si>
    <t>LOG-00165</t>
  </si>
  <si>
    <t>SESS-1946</t>
  </si>
  <si>
    <t>2026-06-20 07:38:00</t>
  </si>
  <si>
    <t>Draft a status report for TRL-0052 for the portfolio committee.</t>
  </si>
  <si>
    <t>LOG-00166</t>
  </si>
  <si>
    <t>SESS-1565</t>
  </si>
  <si>
    <t>2026-07-08 15:42:00</t>
  </si>
  <si>
    <t>Draft a status report for TRL-0011 for the portfolio committee.</t>
  </si>
  <si>
    <t>LOG-00167</t>
  </si>
  <si>
    <t>SESS-1550</t>
  </si>
  <si>
    <t>2026-09-07 06:33:00</t>
  </si>
  <si>
    <t>LOG-00168</t>
  </si>
  <si>
    <t>SESS-1288</t>
  </si>
  <si>
    <t>2026-07-07 23:32:00</t>
  </si>
  <si>
    <t>LOG-00169</t>
  </si>
  <si>
    <t>SESS-1302</t>
  </si>
  <si>
    <t>2026-08-22 14:53:00</t>
  </si>
  <si>
    <t>How many sites are actively recruiting for Oncology programs?</t>
  </si>
  <si>
    <t>LOG-00170</t>
  </si>
  <si>
    <t>SESS-1885</t>
  </si>
  <si>
    <t>2026-08-29 19:03:00</t>
  </si>
  <si>
    <t>Summarize the most recent safety signal review for AGN-1113.</t>
  </si>
  <si>
    <t>LOG-00171</t>
  </si>
  <si>
    <t>SESS-1762</t>
  </si>
  <si>
    <t>2026-06-15 09:26:00</t>
  </si>
  <si>
    <t>Summarize the most recent safety signal review for AGN-1138.</t>
  </si>
  <si>
    <t>LOG-00172</t>
  </si>
  <si>
    <t>2026-09-01 07:22:00</t>
  </si>
  <si>
    <t>Summarize the most recent safety signal review for PSA-1026.</t>
  </si>
  <si>
    <t>LOG-00173</t>
  </si>
  <si>
    <t>SESS-1723</t>
  </si>
  <si>
    <t>2026-06-14 11:41:00</t>
  </si>
  <si>
    <t>Show me the lab results trend for DKU-1063 over the last 6 months.</t>
  </si>
  <si>
    <t>LOG-00174</t>
  </si>
  <si>
    <t>SESS-1861</t>
  </si>
  <si>
    <t>2026-09-03 21:34:00</t>
  </si>
  <si>
    <t>LOG-00175</t>
  </si>
  <si>
    <t>SESS-1251</t>
  </si>
  <si>
    <t>2026-06-02 10:49:00</t>
  </si>
  <si>
    <t>LOG-00176</t>
  </si>
  <si>
    <t>SESS-1271</t>
  </si>
  <si>
    <t>2026-07-06 14:55:00</t>
  </si>
  <si>
    <t>Is there a hERG cardiotoxicity risk flagged for AGN-1136?</t>
  </si>
  <si>
    <t>LOG-00177</t>
  </si>
  <si>
    <t>SESS-1289</t>
  </si>
  <si>
    <t>2026-08-30 10:13:00</t>
  </si>
  <si>
    <t>LOG-00178</t>
  </si>
  <si>
    <t>SESS-1003</t>
  </si>
  <si>
    <t>2026-07-09 23:48:00</t>
  </si>
  <si>
    <t>LOG-00179</t>
  </si>
  <si>
    <t>SESS-1727</t>
  </si>
  <si>
    <t>2026-07-08 23:09:00</t>
  </si>
  <si>
    <t>LOG-00180</t>
  </si>
  <si>
    <t>SESS-1646</t>
  </si>
  <si>
    <t>2026-08-09 05:30:00</t>
  </si>
  <si>
    <t>Is there a hERG cardiotoxicity risk flagged for AGN-1100?</t>
  </si>
  <si>
    <t>LOG-00181</t>
  </si>
  <si>
    <t>2026-07-03 18:42:00</t>
  </si>
  <si>
    <t>LOG-00182</t>
  </si>
  <si>
    <t>SESS-1556</t>
  </si>
  <si>
    <t>2026-08-11 09:35:00</t>
  </si>
  <si>
    <t>LOG-00183</t>
  </si>
  <si>
    <t>SESS-1429</t>
  </si>
  <si>
    <t>2026-07-23 07:06:00</t>
  </si>
  <si>
    <t>Summarize the most recent safety signal review for VLX-1097.</t>
  </si>
  <si>
    <t>LOG-00184</t>
  </si>
  <si>
    <t>SESS-1180</t>
  </si>
  <si>
    <t>2026-06-22 02:01:00</t>
  </si>
  <si>
    <t>Find compounds similar to DKU-1058 targeting PD-1.</t>
  </si>
  <si>
    <t>LOG-00185</t>
  </si>
  <si>
    <t>SESS-1721</t>
  </si>
  <si>
    <t>2026-08-12 11:16:00</t>
  </si>
  <si>
    <t>Summarize the most recent safety signal review for DKU-1063.</t>
  </si>
  <si>
    <t>LOG-00186</t>
  </si>
  <si>
    <t>SESS-1029</t>
  </si>
  <si>
    <t>2026-07-13 18:07:00</t>
  </si>
  <si>
    <t>LOG-00187</t>
  </si>
  <si>
    <t>2026-08-14 10:58:00</t>
  </si>
  <si>
    <t>Show me the lab results trend for RX-1109 over the last 6 months.</t>
  </si>
  <si>
    <t>LOG-00188</t>
  </si>
  <si>
    <t>SESS-1400</t>
  </si>
  <si>
    <t>2026-08-14 20:41:00</t>
  </si>
  <si>
    <t>Draft a status report for TRL-0006 for the portfolio committee.</t>
  </si>
  <si>
    <t>LOG-00189</t>
  </si>
  <si>
    <t>SESS-1497</t>
  </si>
  <si>
    <t>2026-07-19 20:17:00</t>
  </si>
  <si>
    <t>Is there a hERG cardiotoxicity risk flagged for VLX-1145?</t>
  </si>
  <si>
    <t>LOG-00190</t>
  </si>
  <si>
    <t>SESS-1315</t>
  </si>
  <si>
    <t>2026-06-09 07:21:00</t>
  </si>
  <si>
    <t>LOG-00191</t>
  </si>
  <si>
    <t>SESS-1211</t>
  </si>
  <si>
    <t>2026-09-06 13:52:00</t>
  </si>
  <si>
    <t>Find compounds similar to DKU-1056 targeting BTK.</t>
  </si>
  <si>
    <t>LOG-00192</t>
  </si>
  <si>
    <t>SESS-1619</t>
  </si>
  <si>
    <t>2026-06-24 12:33:00</t>
  </si>
  <si>
    <t>Escalate any serious adverse events for TRL-0068 to the safety team.</t>
  </si>
  <si>
    <t>LOG-00193</t>
  </si>
  <si>
    <t>SESS-1785</t>
  </si>
  <si>
    <t>2026-07-31 16:09:00</t>
  </si>
  <si>
    <t>LOG-00194</t>
  </si>
  <si>
    <t>SESS-1548</t>
  </si>
  <si>
    <t>2026-08-05 22:01:00</t>
  </si>
  <si>
    <t>LOG-00195</t>
  </si>
  <si>
    <t>SESS-1165</t>
  </si>
  <si>
    <t>2026-07-12 17:58:00</t>
  </si>
  <si>
    <t>Show me the lab results trend for AGN-1139 over the last 6 months.</t>
  </si>
  <si>
    <t>LOG-00196</t>
  </si>
  <si>
    <t>2026-07-16 06:36:00</t>
  </si>
  <si>
    <t>Is there a hERG cardiotoxicity risk flagged for AGN-1050?</t>
  </si>
  <si>
    <t>LOG-00197</t>
  </si>
  <si>
    <t>SESS-1407</t>
  </si>
  <si>
    <t>2026-08-31 07:05:00</t>
  </si>
  <si>
    <t>LOG-00198</t>
  </si>
  <si>
    <t>SESS-1235</t>
  </si>
  <si>
    <t>2026-06-05 09:55:00</t>
  </si>
  <si>
    <t>LOG-00199</t>
  </si>
  <si>
    <t>SESS-1832</t>
  </si>
  <si>
    <t>2026-06-23 12:12:00</t>
  </si>
  <si>
    <t>Find compounds similar to DKU-1129 targeting PCSK9.</t>
  </si>
  <si>
    <t>LOG-00200</t>
  </si>
  <si>
    <t>SESS-1882</t>
  </si>
  <si>
    <t>2026-07-20 03:38:00</t>
  </si>
  <si>
    <t>Is there a hERG cardiotoxicity risk flagged for DKU-1087?</t>
  </si>
  <si>
    <t>LOG-00201</t>
  </si>
  <si>
    <t>SESS-1020</t>
  </si>
  <si>
    <t>2026-08-15 14:49:00</t>
  </si>
  <si>
    <t>Summarize the most recent safety signal review for VLX-1088.</t>
  </si>
  <si>
    <t>LOG-00202</t>
  </si>
  <si>
    <t>SESS-1753</t>
  </si>
  <si>
    <t>2026-06-18 09:29:00</t>
  </si>
  <si>
    <t>Show me the lab results trend for DKU-1129 over the last 6 months.</t>
  </si>
  <si>
    <t>LOG-00203</t>
  </si>
  <si>
    <t>SESS-1803</t>
  </si>
  <si>
    <t>2026-07-27 19:58:00</t>
  </si>
  <si>
    <t>Find compounds similar to SNF-1028 targeting HER2.</t>
  </si>
  <si>
    <t>LOG-00204</t>
  </si>
  <si>
    <t>SESS-1280</t>
  </si>
  <si>
    <t>2026-07-26 00:07:00</t>
  </si>
  <si>
    <t>Show me the lab results trend for SNF-1029 over the last 6 months.</t>
  </si>
  <si>
    <t>LOG-00205</t>
  </si>
  <si>
    <t>SESS-1385</t>
  </si>
  <si>
    <t>2026-08-25 19:34:00</t>
  </si>
  <si>
    <t>Summarize the most recent safety signal review for SNF-1012.</t>
  </si>
  <si>
    <t>LOG-00206</t>
  </si>
  <si>
    <t>SESS-1494</t>
  </si>
  <si>
    <t>2026-07-21 17:02:00</t>
  </si>
  <si>
    <t>Summarize the most recent safety signal review for VLX-1145.</t>
  </si>
  <si>
    <t>LOG-00207</t>
  </si>
  <si>
    <t>SESS-1017</t>
  </si>
  <si>
    <t>2026-08-09 14:46:00</t>
  </si>
  <si>
    <t>Show me the lab results trend for SNF-1081 over the last 6 months.</t>
  </si>
  <si>
    <t>LOG-00208</t>
  </si>
  <si>
    <t>SESS-1731</t>
  </si>
  <si>
    <t>2026-09-08 12:03:00</t>
  </si>
  <si>
    <t>Is there a hERG cardiotoxicity risk flagged for SNF-1137?</t>
  </si>
  <si>
    <t>LOG-00209</t>
  </si>
  <si>
    <t>SESS-1789</t>
  </si>
  <si>
    <t>2026-08-12 08:02:00</t>
  </si>
  <si>
    <t>Find compounds similar to VLX-1065 targeting BRAF.</t>
  </si>
  <si>
    <t>LOG-00210</t>
  </si>
  <si>
    <t>SESS-1340</t>
  </si>
  <si>
    <t>2026-06-20 20:00:00</t>
  </si>
  <si>
    <t>LOG-00211</t>
  </si>
  <si>
    <t>SESS-1212</t>
  </si>
  <si>
    <t>2026-07-01 19:29:00</t>
  </si>
  <si>
    <t>LOG-00212</t>
  </si>
  <si>
    <t>SESS-1631</t>
  </si>
  <si>
    <t>2026-08-13 09:35:00</t>
  </si>
  <si>
    <t>LOG-00213</t>
  </si>
  <si>
    <t>2026-08-29 19:46:00</t>
  </si>
  <si>
    <t>Escalate any serious adverse events for TRL-0044 to the safety team.</t>
  </si>
  <si>
    <t>LOG-00214</t>
  </si>
  <si>
    <t>SESS-1705</t>
  </si>
  <si>
    <t>2026-07-29 12:24:00</t>
  </si>
  <si>
    <t>What did the latest literature review say about JAK2 inhibitors?</t>
  </si>
  <si>
    <t>LOG-00215</t>
  </si>
  <si>
    <t>2026-07-09 02:06:00</t>
  </si>
  <si>
    <t>Is there a hERG cardiotoxicity risk flagged for RX-1047?</t>
  </si>
  <si>
    <t>LOG-00216</t>
  </si>
  <si>
    <t>SESS-1725</t>
  </si>
  <si>
    <t>2026-07-13 21:57:00</t>
  </si>
  <si>
    <t>Show me the lab results trend for PSA-1005 over the last 6 months.</t>
  </si>
  <si>
    <t>LOG-00217</t>
  </si>
  <si>
    <t>SESS-1943</t>
  </si>
  <si>
    <t>2026-06-15 19:47:00</t>
  </si>
  <si>
    <t>Show me the lab results trend for SNF-1014 over the last 6 months.</t>
  </si>
  <si>
    <t>LOG-00218</t>
  </si>
  <si>
    <t>SESS-1766</t>
  </si>
  <si>
    <t>2026-06-03 11:31:00</t>
  </si>
  <si>
    <t>Summarize the most recent safety signal review for SNF-1126.</t>
  </si>
  <si>
    <t>LOG-00219</t>
  </si>
  <si>
    <t>SESS-1434</t>
  </si>
  <si>
    <t>2026-06-21 16:36:00</t>
  </si>
  <si>
    <t>Find compounds similar to AGN-1076 targeting ALK.</t>
  </si>
  <si>
    <t>LOG-00220</t>
  </si>
  <si>
    <t>SESS-1009</t>
  </si>
  <si>
    <t>2026-09-08 14:15:00</t>
  </si>
  <si>
    <t>Show me the lab results trend for VLX-1079 over the last 6 months.</t>
  </si>
  <si>
    <t>LOG-00221</t>
  </si>
  <si>
    <t>SESS-1535</t>
  </si>
  <si>
    <t>2026-07-20 08:29:00</t>
  </si>
  <si>
    <t>Is there a hERG cardiotoxicity risk flagged for DKU-1009?</t>
  </si>
  <si>
    <t>LOG-00222</t>
  </si>
  <si>
    <t>SESS-1144</t>
  </si>
  <si>
    <t>2026-07-01 05:01:00</t>
  </si>
  <si>
    <t>LOG-00223</t>
  </si>
  <si>
    <t>2026-08-07 14:01:00</t>
  </si>
  <si>
    <t>Find compounds similar to VLX-1079 targeting HER2.</t>
  </si>
  <si>
    <t>LOG-00224</t>
  </si>
  <si>
    <t>SESS-1737</t>
  </si>
  <si>
    <t>2026-07-31 02:33:00</t>
  </si>
  <si>
    <t>LOG-00225</t>
  </si>
  <si>
    <t>SESS-1010</t>
  </si>
  <si>
    <t>2026-08-26 06:22:00</t>
  </si>
  <si>
    <t>Show me the lab results trend for PSA-1055 over the last 6 months.</t>
  </si>
  <si>
    <t>LOG-00226</t>
  </si>
  <si>
    <t>SESS-1005</t>
  </si>
  <si>
    <t>2026-06-13 04:56:00</t>
  </si>
  <si>
    <t>LOG-00227</t>
  </si>
  <si>
    <t>2026-06-18 02:01:00</t>
  </si>
  <si>
    <t>Find compounds similar to SNF-1081 targeting IL-6R.</t>
  </si>
  <si>
    <t>LOG-00228</t>
  </si>
  <si>
    <t>2026-08-25 07:45:00</t>
  </si>
  <si>
    <t>Summarize the most recent safety signal review for DKU-1085.</t>
  </si>
  <si>
    <t>LOG-00229</t>
  </si>
  <si>
    <t>SESS-1353</t>
  </si>
  <si>
    <t>2026-07-12 03:32:00</t>
  </si>
  <si>
    <t>LOG-00230</t>
  </si>
  <si>
    <t>SESS-1598</t>
  </si>
  <si>
    <t>2026-08-17 13:56:00</t>
  </si>
  <si>
    <t>LOG-00231</t>
  </si>
  <si>
    <t>SESS-1956</t>
  </si>
  <si>
    <t>2026-08-13 09:54:00</t>
  </si>
  <si>
    <t>LOG-00232</t>
  </si>
  <si>
    <t>2026-07-07 21:07:00</t>
  </si>
  <si>
    <t>Show me the lab results trend for DKU-1090 over the last 6 months.</t>
  </si>
  <si>
    <t>LOG-00233</t>
  </si>
  <si>
    <t>SESS-1182</t>
  </si>
  <si>
    <t>2026-07-21 23:16:00</t>
  </si>
  <si>
    <t>Summarize the most recent safety signal review for DKU-1099.</t>
  </si>
  <si>
    <t>LOG-00234</t>
  </si>
  <si>
    <t>SESS-1601</t>
  </si>
  <si>
    <t>2026-09-04 02:02:00</t>
  </si>
  <si>
    <t>Summarize the most recent safety signal review for DKU-1023.</t>
  </si>
  <si>
    <t>LOG-00235</t>
  </si>
  <si>
    <t>SESS-1989</t>
  </si>
  <si>
    <t>2026-07-21 11:16:00</t>
  </si>
  <si>
    <t>What did the latest literature review say about VEGFR2 inhibitors?</t>
  </si>
  <si>
    <t>LOG-00236</t>
  </si>
  <si>
    <t>SESS-1802</t>
  </si>
  <si>
    <t>2026-06-01 11:40:00</t>
  </si>
  <si>
    <t>LOG-00237</t>
  </si>
  <si>
    <t>SESS-1168</t>
  </si>
  <si>
    <t>2026-06-27 02:13:00</t>
  </si>
  <si>
    <t>LOG-00238</t>
  </si>
  <si>
    <t>SESS-1523</t>
  </si>
  <si>
    <t>2026-06-25 22:27:00</t>
  </si>
  <si>
    <t>LOG-00239</t>
  </si>
  <si>
    <t>SESS-1778</t>
  </si>
  <si>
    <t>2026-08-31 02:10:00</t>
  </si>
  <si>
    <t>LOG-00240</t>
  </si>
  <si>
    <t>SESS-1363</t>
  </si>
  <si>
    <t>2026-08-10 04:24:00</t>
  </si>
  <si>
    <t>LOG-00241</t>
  </si>
  <si>
    <t>SESS-1978</t>
  </si>
  <si>
    <t>2026-07-09 22:32:00</t>
  </si>
  <si>
    <t>What did the latest literature review say about BRAF inhibitors?</t>
  </si>
  <si>
    <t>LOG-00242</t>
  </si>
  <si>
    <t>2026-08-19 14:20:00</t>
  </si>
  <si>
    <t>Draft a status report for TRL-0055 for the portfolio committee.</t>
  </si>
  <si>
    <t>LOG-00243</t>
  </si>
  <si>
    <t>SESS-1667</t>
  </si>
  <si>
    <t>2026-08-19 06:21:00</t>
  </si>
  <si>
    <t>LOG-00244</t>
  </si>
  <si>
    <t>2026-08-24 20:18:00</t>
  </si>
  <si>
    <t>LOG-00245</t>
  </si>
  <si>
    <t>SESS-1391</t>
  </si>
  <si>
    <t>2026-07-05 18:25:00</t>
  </si>
  <si>
    <t>Is there a hERG cardiotoxicity risk flagged for VLX-1054?</t>
  </si>
  <si>
    <t>LOG-00246</t>
  </si>
  <si>
    <t>SESS-1538</t>
  </si>
  <si>
    <t>2026-08-05 17:11:00</t>
  </si>
  <si>
    <t>LOG-00247</t>
  </si>
  <si>
    <t>SESS-1932</t>
  </si>
  <si>
    <t>2026-06-18 03:09:00</t>
  </si>
  <si>
    <t>Escalate any serious adverse events for TRL-0101 to the safety team.</t>
  </si>
  <si>
    <t>LOG-00248</t>
  </si>
  <si>
    <t>SESS-1034</t>
  </si>
  <si>
    <t>2026-07-20 16:52:00</t>
  </si>
  <si>
    <t>LOG-00249</t>
  </si>
  <si>
    <t>SESS-1058</t>
  </si>
  <si>
    <t>2026-07-17 01:32:00</t>
  </si>
  <si>
    <t>LOG-00250</t>
  </si>
  <si>
    <t>2026-08-22 17:39:00</t>
  </si>
  <si>
    <t>LOG-00251</t>
  </si>
  <si>
    <t>2026-08-07 06:31:00</t>
  </si>
  <si>
    <t>Show me the lab results trend for DKU-1011 over the last 6 months.</t>
  </si>
  <si>
    <t>LOG-00252</t>
  </si>
  <si>
    <t>SESS-1891</t>
  </si>
  <si>
    <t>2026-07-03 04:55:00</t>
  </si>
  <si>
    <t>LOG-00253</t>
  </si>
  <si>
    <t>SESS-1652</t>
  </si>
  <si>
    <t>2026-08-20 17:08:00</t>
  </si>
  <si>
    <t>Is there a hERG cardiotoxicity risk flagged for DKU-1048?</t>
  </si>
  <si>
    <t>LOG-00254</t>
  </si>
  <si>
    <t>SESS-1284</t>
  </si>
  <si>
    <t>2026-09-08 01:08:00</t>
  </si>
  <si>
    <t>LOG-00255</t>
  </si>
  <si>
    <t>SESS-1857</t>
  </si>
  <si>
    <t>2026-07-31 13:26:00</t>
  </si>
  <si>
    <t>Escalate any serious adverse events for TRL-0090 to the safety team.</t>
  </si>
  <si>
    <t>LOG-00256</t>
  </si>
  <si>
    <t>SESS-1528</t>
  </si>
  <si>
    <t>2026-08-06 16:11:00</t>
  </si>
  <si>
    <t>LOG-00257</t>
  </si>
  <si>
    <t>SESS-1844</t>
  </si>
  <si>
    <t>2026-06-12 04:37:00</t>
  </si>
  <si>
    <t>Is there a hERG cardiotoxicity risk flagged for PSA-1103?</t>
  </si>
  <si>
    <t>LOG-00258</t>
  </si>
  <si>
    <t>2026-08-20 17:14:00</t>
  </si>
  <si>
    <t>Draft a status report for TRL-0108 for the portfolio committee.</t>
  </si>
  <si>
    <t>LOG-00259</t>
  </si>
  <si>
    <t>2026-08-14 12:02:00</t>
  </si>
  <si>
    <t>Find compounds similar to VLX-1078 targeting CDK4/6.</t>
  </si>
  <si>
    <t>LOG-00260</t>
  </si>
  <si>
    <t>SESS-1120</t>
  </si>
  <si>
    <t>2026-08-03 20:09:00</t>
  </si>
  <si>
    <t>LOG-00261</t>
  </si>
  <si>
    <t>2026-08-24 06:54:00</t>
  </si>
  <si>
    <t>Escalate any serious adverse events for TRL-0010 to the safety team.</t>
  </si>
  <si>
    <t>LOG-00262</t>
  </si>
  <si>
    <t>SESS-1325</t>
  </si>
  <si>
    <t>2026-07-04 19:09:00</t>
  </si>
  <si>
    <t>LOG-00263</t>
  </si>
  <si>
    <t>SESS-1222</t>
  </si>
  <si>
    <t>2026-06-02 21:36:00</t>
  </si>
  <si>
    <t>LOG-00264</t>
  </si>
  <si>
    <t>2026-07-15 21:59:00</t>
  </si>
  <si>
    <t>LOG-00265</t>
  </si>
  <si>
    <t>SESS-1317</t>
  </si>
  <si>
    <t>2026-06-25 03:55:00</t>
  </si>
  <si>
    <t>LOG-00266</t>
  </si>
  <si>
    <t>SESS-1578</t>
  </si>
  <si>
    <t>2026-06-26 13:31:00</t>
  </si>
  <si>
    <t>Draft a status report for TRL-0012 for the portfolio committee.</t>
  </si>
  <si>
    <t>LOG-00267</t>
  </si>
  <si>
    <t>SESS-1181</t>
  </si>
  <si>
    <t>2026-07-07 06:25:00</t>
  </si>
  <si>
    <t>Find compounds similar to SNF-1143 targeting mTOR.</t>
  </si>
  <si>
    <t>LOG-00268</t>
  </si>
  <si>
    <t>2026-08-29 04:20:00</t>
  </si>
  <si>
    <t>LOG-00269</t>
  </si>
  <si>
    <t>2026-08-21 20:39:00</t>
  </si>
  <si>
    <t>What did the latest literature review say about KRAS G12C inhibitors?</t>
  </si>
  <si>
    <t>LOG-00270</t>
  </si>
  <si>
    <t>SESS-1159</t>
  </si>
  <si>
    <t>2026-08-10 05:03:00</t>
  </si>
  <si>
    <t>LOG-00271</t>
  </si>
  <si>
    <t>SESS-1661</t>
  </si>
  <si>
    <t>2026-08-03 03:43:00</t>
  </si>
  <si>
    <t>Find compounds similar to SNF-1020 targeting TNF-alpha.</t>
  </si>
  <si>
    <t>LOG-00272</t>
  </si>
  <si>
    <t>SESS-1564</t>
  </si>
  <si>
    <t>2026-08-31 16:59:00</t>
  </si>
  <si>
    <t>Find compounds similar to VLX-1052 targeting IL-6R.</t>
  </si>
  <si>
    <t>LOG-00273</t>
  </si>
  <si>
    <t>SESS-1264</t>
  </si>
  <si>
    <t>2026-07-09 08:39:00</t>
  </si>
  <si>
    <t>Summarize the most recent safety signal review for DKU-1040.</t>
  </si>
  <si>
    <t>LOG-00274</t>
  </si>
  <si>
    <t>SESS-1674</t>
  </si>
  <si>
    <t>2026-09-03 02:56:00</t>
  </si>
  <si>
    <t>Draft a status report for TRL-0040 for the portfolio committee.</t>
  </si>
  <si>
    <t>LOG-00275</t>
  </si>
  <si>
    <t>SESS-1381</t>
  </si>
  <si>
    <t>2026-07-29 19:10:00</t>
  </si>
  <si>
    <t>LOG-00276</t>
  </si>
  <si>
    <t>SESS-1644</t>
  </si>
  <si>
    <t>2026-06-20 01:03:00</t>
  </si>
  <si>
    <t>LOG-00277</t>
  </si>
  <si>
    <t>SESS-1924</t>
  </si>
  <si>
    <t>2026-07-31 22:22:00</t>
  </si>
  <si>
    <t>LOG-00278</t>
  </si>
  <si>
    <t>2026-08-24 23:39:00</t>
  </si>
  <si>
    <t>LOG-00279</t>
  </si>
  <si>
    <t>SESS-1748</t>
  </si>
  <si>
    <t>2026-08-19 04:24:00</t>
  </si>
  <si>
    <t>LOG-00280</t>
  </si>
  <si>
    <t>SESS-1615</t>
  </si>
  <si>
    <t>2026-08-07 22:36:00</t>
  </si>
  <si>
    <t>Find compounds similar to DKU-1142 targeting BRAF.</t>
  </si>
  <si>
    <t>LOG-00281</t>
  </si>
  <si>
    <t>SESS-1781</t>
  </si>
  <si>
    <t>2026-07-13 15:41:00</t>
  </si>
  <si>
    <t>Is there a hERG cardiotoxicity risk flagged for DKU-1018?</t>
  </si>
  <si>
    <t>LOG-00282</t>
  </si>
  <si>
    <t>SESS-1410</t>
  </si>
  <si>
    <t>2026-07-20 00:51:00</t>
  </si>
  <si>
    <t>LOG-00283</t>
  </si>
  <si>
    <t>SESS-1907</t>
  </si>
  <si>
    <t>2026-07-25 17:15:00</t>
  </si>
  <si>
    <t>What adverse events have been reported most frequently for Respiratory trials this year?</t>
  </si>
  <si>
    <t>LOG-00284</t>
  </si>
  <si>
    <t>SESS-1133</t>
  </si>
  <si>
    <t>2026-06-26 09:41:00</t>
  </si>
  <si>
    <t>Show me the lab results trend for PSA-1128 over the last 6 months.</t>
  </si>
  <si>
    <t>LOG-00285</t>
  </si>
  <si>
    <t>SESS-1820</t>
  </si>
  <si>
    <t>2026-06-26 18:03:00</t>
  </si>
  <si>
    <t>LOG-00286</t>
  </si>
  <si>
    <t>2026-06-01 03:41:00</t>
  </si>
  <si>
    <t>LOG-00287</t>
  </si>
  <si>
    <t>SESS-1189</t>
  </si>
  <si>
    <t>2026-06-15 15:09:00</t>
  </si>
  <si>
    <t>LOG-00288</t>
  </si>
  <si>
    <t>SESS-1157</t>
  </si>
  <si>
    <t>2026-07-15 13:15:00</t>
  </si>
  <si>
    <t>Is there a hERG cardiotoxicity risk flagged for VLX-1131?</t>
  </si>
  <si>
    <t>LOG-00289</t>
  </si>
  <si>
    <t>SESS-1352</t>
  </si>
  <si>
    <t>2026-06-30 00:07:00</t>
  </si>
  <si>
    <t>LOG-00290</t>
  </si>
  <si>
    <t>SESS-1934</t>
  </si>
  <si>
    <t>2026-07-09 16:23:00</t>
  </si>
  <si>
    <t>Show me the lab results trend for SNF-1077 over the last 6 months.</t>
  </si>
  <si>
    <t>LOG-00291</t>
  </si>
  <si>
    <t>SESS-1098</t>
  </si>
  <si>
    <t>2026-07-15 04:33:00</t>
  </si>
  <si>
    <t>Is there a hERG cardiotoxicity risk flagged for DKU-1037?</t>
  </si>
  <si>
    <t>LOG-00292</t>
  </si>
  <si>
    <t>SESS-1919</t>
  </si>
  <si>
    <t>2026-07-30 13:10:00</t>
  </si>
  <si>
    <t>LOG-00293</t>
  </si>
  <si>
    <t>SESS-1073</t>
  </si>
  <si>
    <t>2026-09-06 05:35:00</t>
  </si>
  <si>
    <t>Is there a hERG cardiotoxicity risk flagged for SNF-1143?</t>
  </si>
  <si>
    <t>LOG-00294</t>
  </si>
  <si>
    <t>SESS-1786</t>
  </si>
  <si>
    <t>2026-07-03 10:23:00</t>
  </si>
  <si>
    <t>LOG-00295</t>
  </si>
  <si>
    <t>SESS-1625</t>
  </si>
  <si>
    <t>2026-06-01 06:57:00</t>
  </si>
  <si>
    <t>LOG-00296</t>
  </si>
  <si>
    <t>2026-06-26 03:16:00</t>
  </si>
  <si>
    <t>Summarize the most recent safety signal review for VLX-1108.</t>
  </si>
  <si>
    <t>LOG-00297</t>
  </si>
  <si>
    <t>SESS-1347</t>
  </si>
  <si>
    <t>2026-06-17 21:40:00</t>
  </si>
  <si>
    <t>Find compounds similar to SNF-1029 targeting BRAF.</t>
  </si>
  <si>
    <t>LOG-00298</t>
  </si>
  <si>
    <t>SESS-1691</t>
  </si>
  <si>
    <t>2026-07-22 21:01:00</t>
  </si>
  <si>
    <t>LOG-00299</t>
  </si>
  <si>
    <t>SESS-1529</t>
  </si>
  <si>
    <t>2026-06-30 18:31:00</t>
  </si>
  <si>
    <t>Draft a status report for TRL-0064 for the portfolio committee.</t>
  </si>
  <si>
    <t>LOG-00300</t>
  </si>
  <si>
    <t>SESS-1671</t>
  </si>
  <si>
    <t>2026-06-19 11:02:00</t>
  </si>
  <si>
    <t>Summarize the most recent safety signal review for SNF-1020.</t>
  </si>
  <si>
    <t>LOG-00301</t>
  </si>
  <si>
    <t>SESS-1393</t>
  </si>
  <si>
    <t>2026-09-01 06:59:00</t>
  </si>
  <si>
    <t>LOG-00302</t>
  </si>
  <si>
    <t>SESS-1055</t>
  </si>
  <si>
    <t>2026-08-13 03:04:00</t>
  </si>
  <si>
    <t>LOG-00303</t>
  </si>
  <si>
    <t>SESS-1618</t>
  </si>
  <si>
    <t>2026-06-22 02:37:00</t>
  </si>
  <si>
    <t>Draft a status report for TRL-0095 for the portfolio committee.</t>
  </si>
  <si>
    <t>LOG-00304</t>
  </si>
  <si>
    <t>SESS-1995</t>
  </si>
  <si>
    <t>2026-07-31 23:54:00</t>
  </si>
  <si>
    <t>LOG-00305</t>
  </si>
  <si>
    <t>SESS-1081</t>
  </si>
  <si>
    <t>2026-08-09 19:24:00</t>
  </si>
  <si>
    <t>LOG-00306</t>
  </si>
  <si>
    <t>SESS-1202</t>
  </si>
  <si>
    <t>2026-07-17 22:30:00</t>
  </si>
  <si>
    <t>LOG-00307</t>
  </si>
  <si>
    <t>SESS-1124</t>
  </si>
  <si>
    <t>2026-08-24 14:34:00</t>
  </si>
  <si>
    <t>LOG-00308</t>
  </si>
  <si>
    <t>2026-08-07 05:28:00</t>
  </si>
  <si>
    <t>LOG-00309</t>
  </si>
  <si>
    <t>SESS-1183</t>
  </si>
  <si>
    <t>2026-07-19 15:34:00</t>
  </si>
  <si>
    <t>Draft a status report for TRL-0049 for the portfolio committee.</t>
  </si>
  <si>
    <t>LOG-00310</t>
  </si>
  <si>
    <t>SESS-1304</t>
  </si>
  <si>
    <t>2026-07-30 02:20:00</t>
  </si>
  <si>
    <t>Is there a hERG cardiotoxicity risk flagged for SNF-1046?</t>
  </si>
  <si>
    <t>LOG-00311</t>
  </si>
  <si>
    <t>SESS-1544</t>
  </si>
  <si>
    <t>2026-06-07 15:57:00</t>
  </si>
  <si>
    <t>Escalate any serious adverse events for TRL-0026 to the safety team.</t>
  </si>
  <si>
    <t>LOG-00312</t>
  </si>
  <si>
    <t>SESS-1096</t>
  </si>
  <si>
    <t>2026-09-06 09:23:00</t>
  </si>
  <si>
    <t>LOG-00313</t>
  </si>
  <si>
    <t>SESS-1914</t>
  </si>
  <si>
    <t>2026-08-18 11:30:00</t>
  </si>
  <si>
    <t>LOG-00314</t>
  </si>
  <si>
    <t>SESS-1940</t>
  </si>
  <si>
    <t>2026-07-15 10:29:00</t>
  </si>
  <si>
    <t>LOG-00315</t>
  </si>
  <si>
    <t>2026-06-14 22:23:00</t>
  </si>
  <si>
    <t>LOG-00316</t>
  </si>
  <si>
    <t>2026-06-15 08:07:00</t>
  </si>
  <si>
    <t>Summarize the most recent safety signal review for AGN-1120.</t>
  </si>
  <si>
    <t>LOG-00317</t>
  </si>
  <si>
    <t>SESS-1263</t>
  </si>
  <si>
    <t>2026-07-04 11:36:00</t>
  </si>
  <si>
    <t>Is there a hERG cardiotoxicity risk flagged for AGN-1095?</t>
  </si>
  <si>
    <t>LOG-00318</t>
  </si>
  <si>
    <t>SESS-1310</t>
  </si>
  <si>
    <t>2026-07-05 21:18:00</t>
  </si>
  <si>
    <t>Summarize the most recent safety signal review for RX-1025.</t>
  </si>
  <si>
    <t>LOG-00319</t>
  </si>
  <si>
    <t>SESS-1383</t>
  </si>
  <si>
    <t>2026-06-09 21:20:00</t>
  </si>
  <si>
    <t>Show me the lab results trend for DKU-1134 over the last 6 months.</t>
  </si>
  <si>
    <t>LOG-00320</t>
  </si>
  <si>
    <t>SESS-1687</t>
  </si>
  <si>
    <t>2026-07-04 19:23:00</t>
  </si>
  <si>
    <t>Find compounds similar to SNF-1135 targeting TNF-alpha.</t>
  </si>
  <si>
    <t>LOG-00321</t>
  </si>
  <si>
    <t>SESS-1279</t>
  </si>
  <si>
    <t>2026-07-22 20:48:00</t>
  </si>
  <si>
    <t>LOG-00322</t>
  </si>
  <si>
    <t>SESS-1672</t>
  </si>
  <si>
    <t>2026-08-15 10:12:00</t>
  </si>
  <si>
    <t>Find compounds similar to VLX-1097 targeting IL-6R.</t>
  </si>
  <si>
    <t>LOG-00323</t>
  </si>
  <si>
    <t>2026-07-28 22:03:00</t>
  </si>
  <si>
    <t>Draft a status report for TRL-0085 for the portfolio committee.</t>
  </si>
  <si>
    <t>LOG-00324</t>
  </si>
  <si>
    <t>2026-07-23 09:33:00</t>
  </si>
  <si>
    <t>LOG-00325</t>
  </si>
  <si>
    <t>SESS-1554</t>
  </si>
  <si>
    <t>2026-07-30 20:20:00</t>
  </si>
  <si>
    <t>LOG-00326</t>
  </si>
  <si>
    <t>SESS-1327</t>
  </si>
  <si>
    <t>2026-08-02 00:05:00</t>
  </si>
  <si>
    <t>Show me the lab results trend for AGN-1114 over the last 6 months.</t>
  </si>
  <si>
    <t>LOG-00327</t>
  </si>
  <si>
    <t>SESS-1714</t>
  </si>
  <si>
    <t>2026-08-30 20:03:00</t>
  </si>
  <si>
    <t>LOG-00328</t>
  </si>
  <si>
    <t>2026-06-06 20:58:00</t>
  </si>
  <si>
    <t>Is there a hERG cardiotoxicity risk flagged for PSA-1149?</t>
  </si>
  <si>
    <t>LOG-00329</t>
  </si>
  <si>
    <t>2026-06-16 03:02:00</t>
  </si>
  <si>
    <t>LOG-00330</t>
  </si>
  <si>
    <t>SESS-1462</t>
  </si>
  <si>
    <t>2026-07-28 09:43:00</t>
  </si>
  <si>
    <t>LOG-00331</t>
  </si>
  <si>
    <t>SESS-1639</t>
  </si>
  <si>
    <t>2026-07-01 08:28:00</t>
  </si>
  <si>
    <t>LOG-00332</t>
  </si>
  <si>
    <t>2026-06-05 06:16:00</t>
  </si>
  <si>
    <t>Is there a hERG cardiotoxicity risk flagged for VLX-1097?</t>
  </si>
  <si>
    <t>LOG-00333</t>
  </si>
  <si>
    <t>SESS-1134</t>
  </si>
  <si>
    <t>2026-09-06 20:46:00</t>
  </si>
  <si>
    <t>LOG-00334</t>
  </si>
  <si>
    <t>SESS-1216</t>
  </si>
  <si>
    <t>2026-07-10 17:47:00</t>
  </si>
  <si>
    <t>Summarize the most recent safety signal review for VLX-1078.</t>
  </si>
  <si>
    <t>LOG-00335</t>
  </si>
  <si>
    <t>2026-06-29 23:11:00</t>
  </si>
  <si>
    <t>Draft a status report for TRL-0042 for the portfolio committee.</t>
  </si>
  <si>
    <t>LOG-00336</t>
  </si>
  <si>
    <t>SESS-1613</t>
  </si>
  <si>
    <t>2026-07-10 15:22:00</t>
  </si>
  <si>
    <t>LOG-00337</t>
  </si>
  <si>
    <t>SESS-1514</t>
  </si>
  <si>
    <t>2026-07-28 20:22:00</t>
  </si>
  <si>
    <t>What did the latest literature review say about mTOR inhibitors?</t>
  </si>
  <si>
    <t>LOG-00338</t>
  </si>
  <si>
    <t>SESS-1506</t>
  </si>
  <si>
    <t>2026-08-13 12:57:00</t>
  </si>
  <si>
    <t>Is there a hERG cardiotoxicity risk flagged for VLX-1127?</t>
  </si>
  <si>
    <t>LOG-00339</t>
  </si>
  <si>
    <t>SESS-1409</t>
  </si>
  <si>
    <t>2026-07-03 08:03:00</t>
  </si>
  <si>
    <t>LOG-00340</t>
  </si>
  <si>
    <t>2026-08-24 11:20:00</t>
  </si>
  <si>
    <t>Show me the lab results trend for PSA-1010 over the last 6 months.</t>
  </si>
  <si>
    <t>LOG-00341</t>
  </si>
  <si>
    <t>SESS-1420</t>
  </si>
  <si>
    <t>2026-08-16 02:42:00</t>
  </si>
  <si>
    <t>Summarize the most recent safety signal review for VLX-1130.</t>
  </si>
  <si>
    <t>LOG-00342</t>
  </si>
  <si>
    <t>SESS-1624</t>
  </si>
  <si>
    <t>2026-06-26 05:25:00</t>
  </si>
  <si>
    <t>LOG-00343</t>
  </si>
  <si>
    <t>SESS-1968</t>
  </si>
  <si>
    <t>2026-08-14 09:57:00</t>
  </si>
  <si>
    <t>LOG-00344</t>
  </si>
  <si>
    <t>SESS-1700</t>
  </si>
  <si>
    <t>2026-08-25 21:49:00</t>
  </si>
  <si>
    <t>Escalate any serious adverse events for TRL-0109 to the safety team.</t>
  </si>
  <si>
    <t>LOG-00345</t>
  </si>
  <si>
    <t>2026-08-10 21:02:00</t>
  </si>
  <si>
    <t>LOG-00346</t>
  </si>
  <si>
    <t>SESS-1959</t>
  </si>
  <si>
    <t>2026-07-14 13:35:00</t>
  </si>
  <si>
    <t>LOG-00347</t>
  </si>
  <si>
    <t>SESS-1915</t>
  </si>
  <si>
    <t>2026-06-12 19:10:00</t>
  </si>
  <si>
    <t>LOG-00348</t>
  </si>
  <si>
    <t>2026-07-15 14:37:00</t>
  </si>
  <si>
    <t>Escalate any serious adverse events for TRL-0072 to the safety team.</t>
  </si>
  <si>
    <t>LOG-00349</t>
  </si>
  <si>
    <t>SESS-1822</t>
  </si>
  <si>
    <t>2026-06-21 05:39:00</t>
  </si>
  <si>
    <t>LOG-00350</t>
  </si>
  <si>
    <t>SESS-1007</t>
  </si>
  <si>
    <t>2026-06-13 17:08:00</t>
  </si>
  <si>
    <t>LOG-00351</t>
  </si>
  <si>
    <t>SESS-1072</t>
  </si>
  <si>
    <t>2026-08-10 03:28:00</t>
  </si>
  <si>
    <t>Is there a hERG cardiotoxicity risk flagged for PSA-1062?</t>
  </si>
  <si>
    <t>LOG-00352</t>
  </si>
  <si>
    <t>2026-09-06 05:49:00</t>
  </si>
  <si>
    <t>Show me the lab results trend for SNF-1012 over the last 6 months.</t>
  </si>
  <si>
    <t>LOG-00353</t>
  </si>
  <si>
    <t>SESS-1831</t>
  </si>
  <si>
    <t>2026-07-24 07:58:00</t>
  </si>
  <si>
    <t>LOG-00354</t>
  </si>
  <si>
    <t>2026-09-02 03:02:00</t>
  </si>
  <si>
    <t>LOG-00355</t>
  </si>
  <si>
    <t>2026-06-27 13:48:00</t>
  </si>
  <si>
    <t>Is there a hERG cardiotoxicity risk flagged for VLX-1021?</t>
  </si>
  <si>
    <t>LOG-00356</t>
  </si>
  <si>
    <t>SESS-1422</t>
  </si>
  <si>
    <t>2026-08-06 17:06:00</t>
  </si>
  <si>
    <t>Summarize the most recent safety signal review for DKU-1018.</t>
  </si>
  <si>
    <t>LOG-00357</t>
  </si>
  <si>
    <t>SESS-1215</t>
  </si>
  <si>
    <t>2026-08-27 20:28:00</t>
  </si>
  <si>
    <t>LOG-00358</t>
  </si>
  <si>
    <t>SESS-1469</t>
  </si>
  <si>
    <t>2026-06-14 11:36:00</t>
  </si>
  <si>
    <t>LOG-00359</t>
  </si>
  <si>
    <t>2026-07-24 18:09:00</t>
  </si>
  <si>
    <t>LOG-00360</t>
  </si>
  <si>
    <t>2026-07-21 02:47:00</t>
  </si>
  <si>
    <t>LOG-00361</t>
  </si>
  <si>
    <t>SESS-1226</t>
  </si>
  <si>
    <t>2026-06-05 17:20:00</t>
  </si>
  <si>
    <t>LOG-00362</t>
  </si>
  <si>
    <t>2026-07-26 19:49:00</t>
  </si>
  <si>
    <t>LOG-00363</t>
  </si>
  <si>
    <t>SESS-1730</t>
  </si>
  <si>
    <t>2026-08-26 12:33:00</t>
  </si>
  <si>
    <t>Escalate any serious adverse events for TRL-0085 to the safety team.</t>
  </si>
  <si>
    <t>LOG-00364</t>
  </si>
  <si>
    <t>SESS-1150</t>
  </si>
  <si>
    <t>2026-06-24 09:39:00</t>
  </si>
  <si>
    <t>Draft a status report for TRL-0103 for the portfolio committee.</t>
  </si>
  <si>
    <t>LOG-00365</t>
  </si>
  <si>
    <t>SESS-1028</t>
  </si>
  <si>
    <t>2026-07-12 11:47:00</t>
  </si>
  <si>
    <t>Is there a hERG cardiotoxicity risk flagged for PSA-1093?</t>
  </si>
  <si>
    <t>LOG-00366</t>
  </si>
  <si>
    <t>SESS-1265</t>
  </si>
  <si>
    <t>2026-06-03 04:43:00</t>
  </si>
  <si>
    <t>LOG-00367</t>
  </si>
  <si>
    <t>SESS-1415</t>
  </si>
  <si>
    <t>2026-09-03 02:00:00</t>
  </si>
  <si>
    <t>Show me the lab results trend for VLX-1078 over the last 6 months.</t>
  </si>
  <si>
    <t>LOG-00368</t>
  </si>
  <si>
    <t>2026-06-29 09:02:00</t>
  </si>
  <si>
    <t>LOG-00369</t>
  </si>
  <si>
    <t>SESS-1663</t>
  </si>
  <si>
    <t>2026-08-28 08:04:00</t>
  </si>
  <si>
    <t>LOG-00370</t>
  </si>
  <si>
    <t>SESS-1014</t>
  </si>
  <si>
    <t>2026-08-09 03:41:00</t>
  </si>
  <si>
    <t>LOG-00371</t>
  </si>
  <si>
    <t>2026-07-08 13:54:00</t>
  </si>
  <si>
    <t>LOG-00372</t>
  </si>
  <si>
    <t>2026-06-22 18:30:00</t>
  </si>
  <si>
    <t>LOG-00373</t>
  </si>
  <si>
    <t>SESS-1866</t>
  </si>
  <si>
    <t>2026-06-03 05:18:00</t>
  </si>
  <si>
    <t>LOG-00374</t>
  </si>
  <si>
    <t>SESS-1408</t>
  </si>
  <si>
    <t>2026-06-06 23:28:00</t>
  </si>
  <si>
    <t>Find compounds similar to PSA-1010 targeting IL-6R.</t>
  </si>
  <si>
    <t>LOG-00375</t>
  </si>
  <si>
    <t>SESS-1566</t>
  </si>
  <si>
    <t>2026-07-20 10:05:00</t>
  </si>
  <si>
    <t>LOG-00376</t>
  </si>
  <si>
    <t>SESS-1457</t>
  </si>
  <si>
    <t>2026-06-11 04:33:00</t>
  </si>
  <si>
    <t>Show me the lab results trend for VLX-1088 over the last 6 months.</t>
  </si>
  <si>
    <t>LOG-00377</t>
  </si>
  <si>
    <t>SESS-1706</t>
  </si>
  <si>
    <t>2026-07-04 06:09:00</t>
  </si>
  <si>
    <t>Find compounds similar to RX-1059 targeting BRAF.</t>
  </si>
  <si>
    <t>LOG-00378</t>
  </si>
  <si>
    <t>2026-08-23 00:34:00</t>
  </si>
  <si>
    <t>Find compounds similar to SNF-1053 targeting mTOR.</t>
  </si>
  <si>
    <t>LOG-00379</t>
  </si>
  <si>
    <t>SESS-1760</t>
  </si>
  <si>
    <t>2026-06-17 15:09:00</t>
  </si>
  <si>
    <t>Draft a status report for TRL-0037 for the portfolio committee.</t>
  </si>
  <si>
    <t>LOG-00380</t>
  </si>
  <si>
    <t>2026-07-26 02:46:00</t>
  </si>
  <si>
    <t>Summarize the most recent safety signal review for DKU-1074.</t>
  </si>
  <si>
    <t>LOG-00381</t>
  </si>
  <si>
    <t>SESS-1475</t>
  </si>
  <si>
    <t>2026-08-26 21:16:00</t>
  </si>
  <si>
    <t>Find compounds similar to RX-1112 targeting GLP-1R.</t>
  </si>
  <si>
    <t>LOG-00382</t>
  </si>
  <si>
    <t>SESS-1201</t>
  </si>
  <si>
    <t>2026-06-14 07:10:00</t>
  </si>
  <si>
    <t>LOG-00383</t>
  </si>
  <si>
    <t>SESS-1102</t>
  </si>
  <si>
    <t>2026-07-06 22:26:00</t>
  </si>
  <si>
    <t>LOG-00384</t>
  </si>
  <si>
    <t>2026-07-25 14:32:00</t>
  </si>
  <si>
    <t>Find compounds similar to PSA-1133 targeting ALK.</t>
  </si>
  <si>
    <t>LOG-00385</t>
  </si>
  <si>
    <t>SESS-1796</t>
  </si>
  <si>
    <t>2026-08-20 13:55:00</t>
  </si>
  <si>
    <t>Is there a hERG cardiotoxicity risk flagged for SNF-1012?</t>
  </si>
  <si>
    <t>LOG-00386</t>
  </si>
  <si>
    <t>SESS-1000</t>
  </si>
  <si>
    <t>2026-08-23 01:24:00</t>
  </si>
  <si>
    <t>Escalate any serious adverse events for TRL-0056 to the safety team.</t>
  </si>
  <si>
    <t>LOG-00387</t>
  </si>
  <si>
    <t>SESS-1336</t>
  </si>
  <si>
    <t>2026-07-03 03:16:00</t>
  </si>
  <si>
    <t>LOG-00388</t>
  </si>
  <si>
    <t>SESS-1270</t>
  </si>
  <si>
    <t>2026-07-25 13:08:00</t>
  </si>
  <si>
    <t>LOG-00389</t>
  </si>
  <si>
    <t>2026-08-31 13:54:00</t>
  </si>
  <si>
    <t>LOG-00390</t>
  </si>
  <si>
    <t>SESS-1326</t>
  </si>
  <si>
    <t>2026-06-02 04:28:00</t>
  </si>
  <si>
    <t>Summarize the most recent safety signal review for SNF-1111.</t>
  </si>
  <si>
    <t>LOG-00391</t>
  </si>
  <si>
    <t>2026-06-12 22:26:00</t>
  </si>
  <si>
    <t>LOG-00392</t>
  </si>
  <si>
    <t>SESS-1350</t>
  </si>
  <si>
    <t>2026-08-20 16:21:00</t>
  </si>
  <si>
    <t>Draft a status report for TRL-0053 for the portfolio committee.</t>
  </si>
  <si>
    <t>LOG-00393</t>
  </si>
  <si>
    <t>2026-06-20 18:58:00</t>
  </si>
  <si>
    <t>Show me the lab results trend for DKU-1142 over the last 6 months.</t>
  </si>
  <si>
    <t>LOG-00394</t>
  </si>
  <si>
    <t>SESS-1784</t>
  </si>
  <si>
    <t>2026-07-29 06:10:00</t>
  </si>
  <si>
    <t>Draft a status report for TRL-0080 for the portfolio committee.</t>
  </si>
  <si>
    <t>LOG-00395</t>
  </si>
  <si>
    <t>SESS-1584</t>
  </si>
  <si>
    <t>2026-07-09 06:46:00</t>
  </si>
  <si>
    <t>Summarize the most recent safety signal review for SNF-1102.</t>
  </si>
  <si>
    <t>LOG-00396</t>
  </si>
  <si>
    <t>2026-08-12 03:11:00</t>
  </si>
  <si>
    <t>LOG-00397</t>
  </si>
  <si>
    <t>SESS-1979</t>
  </si>
  <si>
    <t>2026-07-30 06:55:00</t>
  </si>
  <si>
    <t>Escalate any serious adverse events for TRL-0038 to the safety team.</t>
  </si>
  <si>
    <t>LOG-00398</t>
  </si>
  <si>
    <t>SESS-1269</t>
  </si>
  <si>
    <t>2026-07-20 00:57:00</t>
  </si>
  <si>
    <t>Escalate any serious adverse events for TRL-0011 to the safety team.</t>
  </si>
  <si>
    <t>LOG-00399</t>
  </si>
  <si>
    <t>SESS-1744</t>
  </si>
  <si>
    <t>2026-07-31 18:03:00</t>
  </si>
  <si>
    <t>LOG-00400</t>
  </si>
  <si>
    <t>SESS-1780</t>
  </si>
  <si>
    <t>2026-08-17 10:09:00</t>
  </si>
  <si>
    <t>trial_id</t>
  </si>
  <si>
    <t>compound_id</t>
  </si>
  <si>
    <t>trial_phase</t>
  </si>
  <si>
    <t>therapeutic_area</t>
  </si>
  <si>
    <t>sponsor</t>
  </si>
  <si>
    <t>start_date</t>
  </si>
  <si>
    <t>planned_end_date</t>
  </si>
  <si>
    <t>actual_end_date</t>
  </si>
  <si>
    <t>status</t>
  </si>
  <si>
    <t>target_enrollment</t>
  </si>
  <si>
    <t>actual_enrollment</t>
  </si>
  <si>
    <t>primary_endpoint</t>
  </si>
  <si>
    <t>TRL-0001</t>
  </si>
  <si>
    <t>CMP-0002</t>
  </si>
  <si>
    <t>Metabolic Disease</t>
  </si>
  <si>
    <t>PharmaSense Global R&amp;D</t>
  </si>
  <si>
    <t>2024-02-01</t>
  </si>
  <si>
    <t>2025-03-08</t>
  </si>
  <si>
    <t>Reduction in LDL Cholesterol</t>
  </si>
  <si>
    <t>TRL-0002</t>
  </si>
  <si>
    <t>CMP-0005</t>
  </si>
  <si>
    <t>Infectious Disease</t>
  </si>
  <si>
    <t>PharmaSense Oncology Division</t>
  </si>
  <si>
    <t>2025-07-19</t>
  </si>
  <si>
    <t>2026-08-01</t>
  </si>
  <si>
    <t>Time to Symptom Resolution</t>
  </si>
  <si>
    <t>TRL-0003</t>
  </si>
  <si>
    <t>CMP-0006</t>
  </si>
  <si>
    <t>Respiratory</t>
  </si>
  <si>
    <t>2022-02-28</t>
  </si>
  <si>
    <t>2023-07-02</t>
  </si>
  <si>
    <t>2022-06-12</t>
  </si>
  <si>
    <t>TRL-0004</t>
  </si>
  <si>
    <t>CMP-0007</t>
  </si>
  <si>
    <t>Cardiology</t>
  </si>
  <si>
    <t>2022-10-13</t>
  </si>
  <si>
    <t>2023-06-05</t>
  </si>
  <si>
    <t>Change in HbA1c from Baseline</t>
  </si>
  <si>
    <t>TRL-0005</t>
  </si>
  <si>
    <t>CMP-0012</t>
  </si>
  <si>
    <t>2025-01-21</t>
  </si>
  <si>
    <t>2025-11-02</t>
  </si>
  <si>
    <t>Objective Response Rate (ORR)</t>
  </si>
  <si>
    <t>TRL-0006</t>
  </si>
  <si>
    <t>2023-03-12</t>
  </si>
  <si>
    <t>2025-01-10</t>
  </si>
  <si>
    <t>TRL-0007</t>
  </si>
  <si>
    <t>CMP-0015</t>
  </si>
  <si>
    <t>PharmaSense Therapeutics</t>
  </si>
  <si>
    <t>2024-07-10</t>
  </si>
  <si>
    <t>2025-09-21</t>
  </si>
  <si>
    <t>Progression-Free Survival (PFS)</t>
  </si>
  <si>
    <t>TRL-0008</t>
  </si>
  <si>
    <t>CMP-0017</t>
  </si>
  <si>
    <t>2024-01-01</t>
  </si>
  <si>
    <t>2025-11-14</t>
  </si>
  <si>
    <t>TRL-0009</t>
  </si>
  <si>
    <t>2024-04-12</t>
  </si>
  <si>
    <t>2025-03-10</t>
  </si>
  <si>
    <t>ACR20 Response Rate</t>
  </si>
  <si>
    <t>TRL-0010</t>
  </si>
  <si>
    <t>CMP-0018</t>
  </si>
  <si>
    <t>Oncology</t>
  </si>
  <si>
    <t>2023-10-08</t>
  </si>
  <si>
    <t>2025-10-28</t>
  </si>
  <si>
    <t>Safety and Tolerability (MTD)</t>
  </si>
  <si>
    <t>TRL-0011</t>
  </si>
  <si>
    <t>CMP-0019</t>
  </si>
  <si>
    <t>PharmaSense Neuroscience Unit</t>
  </si>
  <si>
    <t>2025-04-27</t>
  </si>
  <si>
    <t>2027-01-20</t>
  </si>
  <si>
    <t>TRL-0012</t>
  </si>
  <si>
    <t>2023-04-24</t>
  </si>
  <si>
    <t>2025-05-25</t>
  </si>
  <si>
    <t>TRL-0013</t>
  </si>
  <si>
    <t>CMP-0020</t>
  </si>
  <si>
    <t>2025-02-09</t>
  </si>
  <si>
    <t>2026-05-05</t>
  </si>
  <si>
    <t>TRL-0014</t>
  </si>
  <si>
    <t>CMP-0023</t>
  </si>
  <si>
    <t>2023-01-08</t>
  </si>
  <si>
    <t>2025-01-22</t>
  </si>
  <si>
    <t>Overall Survival (OS)</t>
  </si>
  <si>
    <t>TRL-0015</t>
  </si>
  <si>
    <t>CMP-0024</t>
  </si>
  <si>
    <t>2022-12-05</t>
  </si>
  <si>
    <t>2024-09-06</t>
  </si>
  <si>
    <t>TRL-0016</t>
  </si>
  <si>
    <t>2022-04-18</t>
  </si>
  <si>
    <t>2023-06-09</t>
  </si>
  <si>
    <t>TRL-0017</t>
  </si>
  <si>
    <t>CMP-0026</t>
  </si>
  <si>
    <t>2022-08-23</t>
  </si>
  <si>
    <t>TRL-0018</t>
  </si>
  <si>
    <t>CMP-0027</t>
  </si>
  <si>
    <t>2022-04-16</t>
  </si>
  <si>
    <t>2024-04-22</t>
  </si>
  <si>
    <t>TRL-0019</t>
  </si>
  <si>
    <t>CMP-0029</t>
  </si>
  <si>
    <t>2024-04-20</t>
  </si>
  <si>
    <t>2024-12-29</t>
  </si>
  <si>
    <t>TRL-0020</t>
  </si>
  <si>
    <t>CMP-0032</t>
  </si>
  <si>
    <t>2027-02-13</t>
  </si>
  <si>
    <t>TRL-0021</t>
  </si>
  <si>
    <t>CMP-0034</t>
  </si>
  <si>
    <t>Neurology</t>
  </si>
  <si>
    <t>2022-08-10</t>
  </si>
  <si>
    <t>2024-07-02</t>
  </si>
  <si>
    <t>TRL-0022</t>
  </si>
  <si>
    <t>CMP-0035</t>
  </si>
  <si>
    <t>2022-10-04</t>
  </si>
  <si>
    <t>2024-12-04</t>
  </si>
  <si>
    <t>TRL-0023</t>
  </si>
  <si>
    <t>CMP-0036</t>
  </si>
  <si>
    <t>2024-01-20</t>
  </si>
  <si>
    <t>2024-08-13</t>
  </si>
  <si>
    <t>TRL-0024</t>
  </si>
  <si>
    <t>CMP-0037</t>
  </si>
  <si>
    <t>2025-03-20</t>
  </si>
  <si>
    <t>2026-03-14</t>
  </si>
  <si>
    <t>TRL-0025</t>
  </si>
  <si>
    <t>CMP-0038</t>
  </si>
  <si>
    <t>2026-06-08</t>
  </si>
  <si>
    <t>2028-09-15</t>
  </si>
  <si>
    <t>TRL-0026</t>
  </si>
  <si>
    <t>2024-04-01</t>
  </si>
  <si>
    <t>2025-09-19</t>
  </si>
  <si>
    <t>TRL-0027</t>
  </si>
  <si>
    <t>CMP-0039</t>
  </si>
  <si>
    <t>2023-01-30</t>
  </si>
  <si>
    <t>2024-01-09</t>
  </si>
  <si>
    <t>TRL-0028</t>
  </si>
  <si>
    <t>CMP-0040</t>
  </si>
  <si>
    <t>2022-03-13</t>
  </si>
  <si>
    <t>2024-07-18</t>
  </si>
  <si>
    <t>TRL-0029</t>
  </si>
  <si>
    <t>CMP-0043</t>
  </si>
  <si>
    <t>2022-08-26</t>
  </si>
  <si>
    <t>2023-11-07</t>
  </si>
  <si>
    <t>TRL-0030</t>
  </si>
  <si>
    <t>CMP-0045</t>
  </si>
  <si>
    <t>Immunology</t>
  </si>
  <si>
    <t>2022-10-23</t>
  </si>
  <si>
    <t>2025-02-22</t>
  </si>
  <si>
    <t>TRL-0031</t>
  </si>
  <si>
    <t>CMP-0048</t>
  </si>
  <si>
    <t>2022-07-31</t>
  </si>
  <si>
    <t>2023-08-07</t>
  </si>
  <si>
    <t>TRL-0032</t>
  </si>
  <si>
    <t>CMP-0051</t>
  </si>
  <si>
    <t>2021-10-12</t>
  </si>
  <si>
    <t>2022-06-01</t>
  </si>
  <si>
    <t>TRL-0033</t>
  </si>
  <si>
    <t>2024-04-17</t>
  </si>
  <si>
    <t>2025-08-04</t>
  </si>
  <si>
    <t>TRL-0034</t>
  </si>
  <si>
    <t>CMP-0052</t>
  </si>
  <si>
    <t>2023-01-14</t>
  </si>
  <si>
    <t>2025-04-18</t>
  </si>
  <si>
    <t>TRL-0035</t>
  </si>
  <si>
    <t>CMP-0053</t>
  </si>
  <si>
    <t>2026-06-04</t>
  </si>
  <si>
    <t>2028-06-18</t>
  </si>
  <si>
    <t>TRL-0036</t>
  </si>
  <si>
    <t>CMP-0054</t>
  </si>
  <si>
    <t>2024-05-21</t>
  </si>
  <si>
    <t>2026-03-04</t>
  </si>
  <si>
    <t>TRL-0037</t>
  </si>
  <si>
    <t>CMP-0055</t>
  </si>
  <si>
    <t>2025-01-31</t>
  </si>
  <si>
    <t>2026-09-28</t>
  </si>
  <si>
    <t>TRL-0038</t>
  </si>
  <si>
    <t>CMP-0056</t>
  </si>
  <si>
    <t>2022-04-28</t>
  </si>
  <si>
    <t>2024-05-11</t>
  </si>
  <si>
    <t>TRL-0039</t>
  </si>
  <si>
    <t>2025-11-29</t>
  </si>
  <si>
    <t>2028-01-31</t>
  </si>
  <si>
    <t>2026-07-30</t>
  </si>
  <si>
    <t>TRL-0040</t>
  </si>
  <si>
    <t>CMP-0058</t>
  </si>
  <si>
    <t>2025-09-27</t>
  </si>
  <si>
    <t>TRL-0041</t>
  </si>
  <si>
    <t>CMP-0060</t>
  </si>
  <si>
    <t>2025-12-07</t>
  </si>
  <si>
    <t>2027-04-06</t>
  </si>
  <si>
    <t>TRL-0042</t>
  </si>
  <si>
    <t>CMP-0063</t>
  </si>
  <si>
    <t>2024-06-27</t>
  </si>
  <si>
    <t>2025-12-12</t>
  </si>
  <si>
    <t>TRL-0043</t>
  </si>
  <si>
    <t>2023-12-25</t>
  </si>
  <si>
    <t>2025-01-01</t>
  </si>
  <si>
    <t>TRL-0044</t>
  </si>
  <si>
    <t>CMP-0064</t>
  </si>
  <si>
    <t>2023-11-04</t>
  </si>
  <si>
    <t>2025-03-23</t>
  </si>
  <si>
    <t>TRL-0045</t>
  </si>
  <si>
    <t>CMP-0065</t>
  </si>
  <si>
    <t>2022-08-08</t>
  </si>
  <si>
    <t>2023-03-13</t>
  </si>
  <si>
    <t>TRL-0046</t>
  </si>
  <si>
    <t>2021-12-16</t>
  </si>
  <si>
    <t>2023-09-07</t>
  </si>
  <si>
    <t>TRL-0047</t>
  </si>
  <si>
    <t>CMP-0068</t>
  </si>
  <si>
    <t>2026-04-06</t>
  </si>
  <si>
    <t>2027-11-26</t>
  </si>
  <si>
    <t>TRL-0048</t>
  </si>
  <si>
    <t>CMP-0069</t>
  </si>
  <si>
    <t>2025-06-18</t>
  </si>
  <si>
    <t>TRL-0049</t>
  </si>
  <si>
    <t>CMP-0071</t>
  </si>
  <si>
    <t>2025-09-08</t>
  </si>
  <si>
    <t>2027-01-25</t>
  </si>
  <si>
    <t>TRL-0050</t>
  </si>
  <si>
    <t>2023-08-26</t>
  </si>
  <si>
    <t>2024-10-19</t>
  </si>
  <si>
    <t>TRL-0051</t>
  </si>
  <si>
    <t>CMP-0072</t>
  </si>
  <si>
    <t>2022-01-25</t>
  </si>
  <si>
    <t>2022-11-01</t>
  </si>
  <si>
    <t>TRL-0052</t>
  </si>
  <si>
    <t>2024-10-03</t>
  </si>
  <si>
    <t>2027-03-12</t>
  </si>
  <si>
    <t>TRL-0053</t>
  </si>
  <si>
    <t>CMP-0073</t>
  </si>
  <si>
    <t>2021-12-20</t>
  </si>
  <si>
    <t>2022-08-14</t>
  </si>
  <si>
    <t>TRL-0054</t>
  </si>
  <si>
    <t>CMP-0074</t>
  </si>
  <si>
    <t>2022-06-07</t>
  </si>
  <si>
    <t>2023-05-02</t>
  </si>
  <si>
    <t>TRL-0055</t>
  </si>
  <si>
    <t>2024-06-07</t>
  </si>
  <si>
    <t>2025-05-27</t>
  </si>
  <si>
    <t>TRL-0056</t>
  </si>
  <si>
    <t>CMP-0076</t>
  </si>
  <si>
    <t>2023-03-07</t>
  </si>
  <si>
    <t>2025-01-24</t>
  </si>
  <si>
    <t>TRL-0057</t>
  </si>
  <si>
    <t>CMP-0078</t>
  </si>
  <si>
    <t>2026-07-09</t>
  </si>
  <si>
    <t>2027-09-23</t>
  </si>
  <si>
    <t>TRL-0058</t>
  </si>
  <si>
    <t>2022-04-14</t>
  </si>
  <si>
    <t>2024-09-03</t>
  </si>
  <si>
    <t>TRL-0059</t>
  </si>
  <si>
    <t>CMP-0080</t>
  </si>
  <si>
    <t>2025-05-29</t>
  </si>
  <si>
    <t>2026-11-13</t>
  </si>
  <si>
    <t>2025-09-23</t>
  </si>
  <si>
    <t>TRL-0060</t>
  </si>
  <si>
    <t>2024-08-23</t>
  </si>
  <si>
    <t>2026-06-01</t>
  </si>
  <si>
    <t>TRL-0061</t>
  </si>
  <si>
    <t>CMP-0082</t>
  </si>
  <si>
    <t>2025-07-15</t>
  </si>
  <si>
    <t>2026-04-30</t>
  </si>
  <si>
    <t>TRL-0062</t>
  </si>
  <si>
    <t>2022-10-20</t>
  </si>
  <si>
    <t>2024-11-26</t>
  </si>
  <si>
    <t>TRL-0063</t>
  </si>
  <si>
    <t>CMP-0088</t>
  </si>
  <si>
    <t>2024-03-28</t>
  </si>
  <si>
    <t>2025-07-02</t>
  </si>
  <si>
    <t>TRL-0064</t>
  </si>
  <si>
    <t>2023-11-22</t>
  </si>
  <si>
    <t>2025-03-09</t>
  </si>
  <si>
    <t>TRL-0065</t>
  </si>
  <si>
    <t>CMP-0089</t>
  </si>
  <si>
    <t>2023-11-08</t>
  </si>
  <si>
    <t>2026-01-31</t>
  </si>
  <si>
    <t>TRL-0066</t>
  </si>
  <si>
    <t>CMP-0093</t>
  </si>
  <si>
    <t>2027-03-25</t>
  </si>
  <si>
    <t>TRL-0067</t>
  </si>
  <si>
    <t>CMP-0097</t>
  </si>
  <si>
    <t>2026-07-02</t>
  </si>
  <si>
    <t>2027-03-31</t>
  </si>
  <si>
    <t>TRL-0068</t>
  </si>
  <si>
    <t>CMP-0099</t>
  </si>
  <si>
    <t>2023-03-10</t>
  </si>
  <si>
    <t>2024-03-29</t>
  </si>
  <si>
    <t>TRL-0069</t>
  </si>
  <si>
    <t>CMP-0101</t>
  </si>
  <si>
    <t>2024-09-18</t>
  </si>
  <si>
    <t>2025-12-05</t>
  </si>
  <si>
    <t>TRL-0070</t>
  </si>
  <si>
    <t>CMP-0102</t>
  </si>
  <si>
    <t>2024-08-29</t>
  </si>
  <si>
    <t>2026-06-19</t>
  </si>
  <si>
    <t>TRL-0071</t>
  </si>
  <si>
    <t>CMP-0103</t>
  </si>
  <si>
    <t>2025-04-16</t>
  </si>
  <si>
    <t>2027-05-06</t>
  </si>
  <si>
    <t>TRL-0072</t>
  </si>
  <si>
    <t>2026-04-18</t>
  </si>
  <si>
    <t>2027-07-12</t>
  </si>
  <si>
    <t>TRL-0073</t>
  </si>
  <si>
    <t>CMP-0106</t>
  </si>
  <si>
    <t>2022-09-19</t>
  </si>
  <si>
    <t>2024-11-05</t>
  </si>
  <si>
    <t>TRL-0074</t>
  </si>
  <si>
    <t>CMP-0111</t>
  </si>
  <si>
    <t>2022-09-24</t>
  </si>
  <si>
    <t>2024-07-17</t>
  </si>
  <si>
    <t>TRL-0075</t>
  </si>
  <si>
    <t>CMP-0113</t>
  </si>
  <si>
    <t>2027-03-06</t>
  </si>
  <si>
    <t>TRL-0076</t>
  </si>
  <si>
    <t>CMP-0114</t>
  </si>
  <si>
    <t>2022-06-21</t>
  </si>
  <si>
    <t>2023-05-10</t>
  </si>
  <si>
    <t>TRL-0077</t>
  </si>
  <si>
    <t>CMP-0115</t>
  </si>
  <si>
    <t>2022-07-21</t>
  </si>
  <si>
    <t>2023-04-26</t>
  </si>
  <si>
    <t>TRL-0078</t>
  </si>
  <si>
    <t>CMP-0117</t>
  </si>
  <si>
    <t>2022-01-27</t>
  </si>
  <si>
    <t>2023-08-09</t>
  </si>
  <si>
    <t>TRL-0079</t>
  </si>
  <si>
    <t>2021-09-21</t>
  </si>
  <si>
    <t>2023-05-18</t>
  </si>
  <si>
    <t>TRL-0080</t>
  </si>
  <si>
    <t>CMP-0118</t>
  </si>
  <si>
    <t>2024-06-22</t>
  </si>
  <si>
    <t>TRL-0081</t>
  </si>
  <si>
    <t>CMP-0119</t>
  </si>
  <si>
    <t>2024-08-01</t>
  </si>
  <si>
    <t>2026-02-03</t>
  </si>
  <si>
    <t>TRL-0082</t>
  </si>
  <si>
    <t>CMP-0120</t>
  </si>
  <si>
    <t>2023-02-13</t>
  </si>
  <si>
    <t>2024-09-22</t>
  </si>
  <si>
    <t>TRL-0083</t>
  </si>
  <si>
    <t>CMP-0121</t>
  </si>
  <si>
    <t>2022-10-31</t>
  </si>
  <si>
    <t>2023-07-31</t>
  </si>
  <si>
    <t>TRL-0084</t>
  </si>
  <si>
    <t>2025-02-17</t>
  </si>
  <si>
    <t>2026-07-23</t>
  </si>
  <si>
    <t>2026-02-10</t>
  </si>
  <si>
    <t>TRL-0085</t>
  </si>
  <si>
    <t>CMP-0122</t>
  </si>
  <si>
    <t>2025-02-10</t>
  </si>
  <si>
    <t>2027-02-27</t>
  </si>
  <si>
    <t>TRL-0086</t>
  </si>
  <si>
    <t>CMP-0124</t>
  </si>
  <si>
    <t>2023-11-28</t>
  </si>
  <si>
    <t>2024-10-24</t>
  </si>
  <si>
    <t>TRL-0087</t>
  </si>
  <si>
    <t>CMP-0126</t>
  </si>
  <si>
    <t>2025-01-13</t>
  </si>
  <si>
    <t>2027-01-16</t>
  </si>
  <si>
    <t>TRL-0088</t>
  </si>
  <si>
    <t>CMP-0127</t>
  </si>
  <si>
    <t>2026-03-07</t>
  </si>
  <si>
    <t>2027-01-15</t>
  </si>
  <si>
    <t>TRL-0089</t>
  </si>
  <si>
    <t>CMP-0128</t>
  </si>
  <si>
    <t>2025-07-10</t>
  </si>
  <si>
    <t>2026-01-22</t>
  </si>
  <si>
    <t>TRL-0090</t>
  </si>
  <si>
    <t>CMP-0129</t>
  </si>
  <si>
    <t>2024-09-25</t>
  </si>
  <si>
    <t>2026-05-29</t>
  </si>
  <si>
    <t>TRL-0091</t>
  </si>
  <si>
    <t>CMP-0131</t>
  </si>
  <si>
    <t>2024-11-28</t>
  </si>
  <si>
    <t>2026-08-29</t>
  </si>
  <si>
    <t>TRL-0092</t>
  </si>
  <si>
    <t>2026-03-24</t>
  </si>
  <si>
    <t>2028-02-17</t>
  </si>
  <si>
    <t>TRL-0093</t>
  </si>
  <si>
    <t>CMP-0133</t>
  </si>
  <si>
    <t>2026-01-23</t>
  </si>
  <si>
    <t>TRL-0094</t>
  </si>
  <si>
    <t>2024-05-06</t>
  </si>
  <si>
    <t>2025-12-18</t>
  </si>
  <si>
    <t>TRL-0095</t>
  </si>
  <si>
    <t>CMP-0134</t>
  </si>
  <si>
    <t>2024-11-04</t>
  </si>
  <si>
    <t>2025-07-17</t>
  </si>
  <si>
    <t>TRL-0096</t>
  </si>
  <si>
    <t>2026-02-08</t>
  </si>
  <si>
    <t>2026-12-14</t>
  </si>
  <si>
    <t>TRL-0097</t>
  </si>
  <si>
    <t>CMP-0135</t>
  </si>
  <si>
    <t>2025-09-16</t>
  </si>
  <si>
    <t>2027-08-14</t>
  </si>
  <si>
    <t>TRL-0098</t>
  </si>
  <si>
    <t>2022-01-21</t>
  </si>
  <si>
    <t>2024-05-20</t>
  </si>
  <si>
    <t>TRL-0099</t>
  </si>
  <si>
    <t>CMP-0137</t>
  </si>
  <si>
    <t>2022-07-07</t>
  </si>
  <si>
    <t>2023-08-24</t>
  </si>
  <si>
    <t>TRL-0100</t>
  </si>
  <si>
    <t>2023-03-14</t>
  </si>
  <si>
    <t>2024-10-22</t>
  </si>
  <si>
    <t>2023-11-10</t>
  </si>
  <si>
    <t>TRL-0101</t>
  </si>
  <si>
    <t>CMP-0138</t>
  </si>
  <si>
    <t>2025-05-02</t>
  </si>
  <si>
    <t>2026-09-14</t>
  </si>
  <si>
    <t>TRL-0102</t>
  </si>
  <si>
    <t>2024-06-18</t>
  </si>
  <si>
    <t>2025-02-21</t>
  </si>
  <si>
    <t>TRL-0103</t>
  </si>
  <si>
    <t>CMP-0139</t>
  </si>
  <si>
    <t>2023-02-08</t>
  </si>
  <si>
    <t>2024-08-22</t>
  </si>
  <si>
    <t>TRL-0104</t>
  </si>
  <si>
    <t>CMP-0141</t>
  </si>
  <si>
    <t>2022-04-24</t>
  </si>
  <si>
    <t>2023-10-18</t>
  </si>
  <si>
    <t>TRL-0105</t>
  </si>
  <si>
    <t>2025-01-15</t>
  </si>
  <si>
    <t>2027-03-20</t>
  </si>
  <si>
    <t>2025-09-25</t>
  </si>
  <si>
    <t>TRL-0106</t>
  </si>
  <si>
    <t>CMP-0142</t>
  </si>
  <si>
    <t>2025-02-04</t>
  </si>
  <si>
    <t>2026-01-08</t>
  </si>
  <si>
    <t>TRL-0107</t>
  </si>
  <si>
    <t>CMP-0143</t>
  </si>
  <si>
    <t>2026-04-09</t>
  </si>
  <si>
    <t>2027-01-31</t>
  </si>
  <si>
    <t>2026-07-14</t>
  </si>
  <si>
    <t>TRL-0108</t>
  </si>
  <si>
    <t>CMP-0147</t>
  </si>
  <si>
    <t>2024-02-18</t>
  </si>
  <si>
    <t>2026-05-01</t>
  </si>
  <si>
    <t>2025-02-19</t>
  </si>
  <si>
    <t>TRL-0109</t>
  </si>
  <si>
    <t>CMP-0149</t>
  </si>
  <si>
    <t>2024-02-06</t>
  </si>
  <si>
    <t>2026-07-24</t>
  </si>
  <si>
    <t>TRL-0110</t>
  </si>
  <si>
    <t>CMP-0150</t>
  </si>
  <si>
    <t>2022-02-06</t>
  </si>
  <si>
    <t>2023-02-06</t>
  </si>
  <si>
    <t>event_id</t>
  </si>
  <si>
    <t>site_id</t>
  </si>
  <si>
    <t>patient_code</t>
  </si>
  <si>
    <t>event_date</t>
  </si>
  <si>
    <t>adverse_event_term</t>
  </si>
  <si>
    <t>severity</t>
  </si>
  <si>
    <t>seriousness</t>
  </si>
  <si>
    <t>causality_assessment</t>
  </si>
  <si>
    <t>outcome</t>
  </si>
  <si>
    <t>reported_by</t>
  </si>
  <si>
    <t>AE-00001</t>
  </si>
  <si>
    <t>SITE-00193</t>
  </si>
  <si>
    <t>PT-77302</t>
  </si>
  <si>
    <t>2023-09-04</t>
  </si>
  <si>
    <t>Cough</t>
  </si>
  <si>
    <t>Non-serious</t>
  </si>
  <si>
    <t>Related</t>
  </si>
  <si>
    <t>Dr. Oconnor</t>
  </si>
  <si>
    <t>AE-00002</t>
  </si>
  <si>
    <t>SITE-00003</t>
  </si>
  <si>
    <t>PT-25587</t>
  </si>
  <si>
    <t>2026-03-26</t>
  </si>
  <si>
    <t>Insomnia</t>
  </si>
  <si>
    <t>Dr. Cox</t>
  </si>
  <si>
    <t>AE-00003</t>
  </si>
  <si>
    <t>SITE-00333</t>
  </si>
  <si>
    <t>PT-49537</t>
  </si>
  <si>
    <t>2024-02-13</t>
  </si>
  <si>
    <t>Headache</t>
  </si>
  <si>
    <t>Dr. Wagner</t>
  </si>
  <si>
    <t>AE-00004</t>
  </si>
  <si>
    <t>SITE-00153</t>
  </si>
  <si>
    <t>PT-88878</t>
  </si>
  <si>
    <t>2026-05-15</t>
  </si>
  <si>
    <t>Diarrhea</t>
  </si>
  <si>
    <t>Possibly Related</t>
  </si>
  <si>
    <t>Dr. Valdez</t>
  </si>
  <si>
    <t>AE-00005</t>
  </si>
  <si>
    <t>SITE-00320</t>
  </si>
  <si>
    <t>PT-97896</t>
  </si>
  <si>
    <t>Dizziness</t>
  </si>
  <si>
    <t>Dr. Cole</t>
  </si>
  <si>
    <t>AE-00006</t>
  </si>
  <si>
    <t>SITE-00332</t>
  </si>
  <si>
    <t>PT-29078</t>
  </si>
  <si>
    <t>Unlikely Related</t>
  </si>
  <si>
    <t>Dr. Hudson</t>
  </si>
  <si>
    <t>AE-00007</t>
  </si>
  <si>
    <t>SITE-00330</t>
  </si>
  <si>
    <t>PT-31044</t>
  </si>
  <si>
    <t>2026-01-07</t>
  </si>
  <si>
    <t>Decreased Appetite</t>
  </si>
  <si>
    <t>Dr. Martinez</t>
  </si>
  <si>
    <t>AE-00008</t>
  </si>
  <si>
    <t>SITE-00203</t>
  </si>
  <si>
    <t>PT-84741</t>
  </si>
  <si>
    <t>2024-11-10</t>
  </si>
  <si>
    <t>Fatigue</t>
  </si>
  <si>
    <t>Dr. Frank</t>
  </si>
  <si>
    <t>AE-00009</t>
  </si>
  <si>
    <t>SITE-00305</t>
  </si>
  <si>
    <t>PT-11832</t>
  </si>
  <si>
    <t>2024-05-05</t>
  </si>
  <si>
    <t>Dr. Richards</t>
  </si>
  <si>
    <t>AE-00010</t>
  </si>
  <si>
    <t>SITE-00268</t>
  </si>
  <si>
    <t>PT-35106</t>
  </si>
  <si>
    <t>2023-04-07</t>
  </si>
  <si>
    <t>Peripheral Neuropathy</t>
  </si>
  <si>
    <t>Dr. Green</t>
  </si>
  <si>
    <t>AE-00011</t>
  </si>
  <si>
    <t>SITE-00313</t>
  </si>
  <si>
    <t>PT-22934</t>
  </si>
  <si>
    <t>Not Related</t>
  </si>
  <si>
    <t>Dr. Edwards</t>
  </si>
  <si>
    <t>AE-00012</t>
  </si>
  <si>
    <t>SITE-00076</t>
  </si>
  <si>
    <t>PT-87251</t>
  </si>
  <si>
    <t>Rash</t>
  </si>
  <si>
    <t>Dr. Fisher</t>
  </si>
  <si>
    <t>AE-00013</t>
  </si>
  <si>
    <t>SITE-00124</t>
  </si>
  <si>
    <t>PT-24067</t>
  </si>
  <si>
    <t>2026-08-23</t>
  </si>
  <si>
    <t>Dr. Johnston</t>
  </si>
  <si>
    <t>AE-00014</t>
  </si>
  <si>
    <t>SITE-00375</t>
  </si>
  <si>
    <t>PT-65586</t>
  </si>
  <si>
    <t>2025-03-29</t>
  </si>
  <si>
    <t>Dr. Barton</t>
  </si>
  <si>
    <t>AE-00015</t>
  </si>
  <si>
    <t>SITE-00212</t>
  </si>
  <si>
    <t>PT-24790</t>
  </si>
  <si>
    <t>2026-04-23</t>
  </si>
  <si>
    <t>Injection Site Reaction</t>
  </si>
  <si>
    <t>Dr. Walter</t>
  </si>
  <si>
    <t>AE-00016</t>
  </si>
  <si>
    <t>PT-24459</t>
  </si>
  <si>
    <t>2022-10-10</t>
  </si>
  <si>
    <t>AE-00017</t>
  </si>
  <si>
    <t>SITE-00273</t>
  </si>
  <si>
    <t>PT-57349</t>
  </si>
  <si>
    <t>2023-10-07</t>
  </si>
  <si>
    <t>Dr. Spencer</t>
  </si>
  <si>
    <t>AE-00018</t>
  </si>
  <si>
    <t>SITE-00249</t>
  </si>
  <si>
    <t>PT-25167</t>
  </si>
  <si>
    <t>2026-06-06</t>
  </si>
  <si>
    <t>Anemia</t>
  </si>
  <si>
    <t>Dr. Newton</t>
  </si>
  <si>
    <t>AE-00019</t>
  </si>
  <si>
    <t>SITE-00237</t>
  </si>
  <si>
    <t>PT-88694</t>
  </si>
  <si>
    <t>2023-03-21</t>
  </si>
  <si>
    <t>Dr. Johnson</t>
  </si>
  <si>
    <t>AE-00020</t>
  </si>
  <si>
    <t>SITE-00221</t>
  </si>
  <si>
    <t>PT-82602</t>
  </si>
  <si>
    <t>2024-06-08</t>
  </si>
  <si>
    <t>QT Prolongation</t>
  </si>
  <si>
    <t>Dr. Vaughn</t>
  </si>
  <si>
    <t>AE-00021</t>
  </si>
  <si>
    <t>SITE-00233</t>
  </si>
  <si>
    <t>PT-34744</t>
  </si>
  <si>
    <t>2026-09-02</t>
  </si>
  <si>
    <t>Dr. Anderson</t>
  </si>
  <si>
    <t>AE-00022</t>
  </si>
  <si>
    <t>PT-58161</t>
  </si>
  <si>
    <t>2026-03-06</t>
  </si>
  <si>
    <t>Dr. Sellers</t>
  </si>
  <si>
    <t>AE-00023</t>
  </si>
  <si>
    <t>SITE-00118</t>
  </si>
  <si>
    <t>PT-23785</t>
  </si>
  <si>
    <t>Serious</t>
  </si>
  <si>
    <t>Dr. Gomez</t>
  </si>
  <si>
    <t>AE-00024</t>
  </si>
  <si>
    <t>SITE-00133</t>
  </si>
  <si>
    <t>PT-96317</t>
  </si>
  <si>
    <t>2024-04-27</t>
  </si>
  <si>
    <t>Dr. Hawkins</t>
  </si>
  <si>
    <t>AE-00025</t>
  </si>
  <si>
    <t>SITE-00261</t>
  </si>
  <si>
    <t>PT-61748</t>
  </si>
  <si>
    <t>2025-07-23</t>
  </si>
  <si>
    <t>Dr. Wilson</t>
  </si>
  <si>
    <t>AE-00026</t>
  </si>
  <si>
    <t>PT-32114</t>
  </si>
  <si>
    <t>2026-04-20</t>
  </si>
  <si>
    <t>Dr. Villanueva</t>
  </si>
  <si>
    <t>AE-00027</t>
  </si>
  <si>
    <t>SITE-00269</t>
  </si>
  <si>
    <t>PT-54385</t>
  </si>
  <si>
    <t>2025-01-28</t>
  </si>
  <si>
    <t>Dr. Jensen</t>
  </si>
  <si>
    <t>AE-00028</t>
  </si>
  <si>
    <t>SITE-00024</t>
  </si>
  <si>
    <t>PT-40522</t>
  </si>
  <si>
    <t>2026-09-08</t>
  </si>
  <si>
    <t>Dr. Williams</t>
  </si>
  <si>
    <t>AE-00029</t>
  </si>
  <si>
    <t>SITE-00214</t>
  </si>
  <si>
    <t>PT-86273</t>
  </si>
  <si>
    <t>2025-08-31</t>
  </si>
  <si>
    <t>Dr. Kelly</t>
  </si>
  <si>
    <t>AE-00030</t>
  </si>
  <si>
    <t>SITE-00301</t>
  </si>
  <si>
    <t>PT-62459</t>
  </si>
  <si>
    <t>2024-07-04</t>
  </si>
  <si>
    <t>Dr. Ortiz</t>
  </si>
  <si>
    <t>AE-00031</t>
  </si>
  <si>
    <t>SITE-00339</t>
  </si>
  <si>
    <t>PT-89058</t>
  </si>
  <si>
    <t>2024-07-05</t>
  </si>
  <si>
    <t>Dr. Davenport</t>
  </si>
  <si>
    <t>AE-00032</t>
  </si>
  <si>
    <t>SITE-00368</t>
  </si>
  <si>
    <t>PT-69589</t>
  </si>
  <si>
    <t>2023-11-14</t>
  </si>
  <si>
    <t>Elevated Liver Enzymes</t>
  </si>
  <si>
    <t>Dr. Woods</t>
  </si>
  <si>
    <t>AE-00033</t>
  </si>
  <si>
    <t>SITE-00130</t>
  </si>
  <si>
    <t>PT-74138</t>
  </si>
  <si>
    <t>2023-04-02</t>
  </si>
  <si>
    <t>Pyrexia</t>
  </si>
  <si>
    <t>Dr. White</t>
  </si>
  <si>
    <t>AE-00034</t>
  </si>
  <si>
    <t>PT-13895</t>
  </si>
  <si>
    <t>2025-10-10</t>
  </si>
  <si>
    <t>Dr. Hendricks</t>
  </si>
  <si>
    <t>AE-00035</t>
  </si>
  <si>
    <t>SITE-00072</t>
  </si>
  <si>
    <t>PT-75291</t>
  </si>
  <si>
    <t>2026-06-16</t>
  </si>
  <si>
    <t>Dr. Miller</t>
  </si>
  <si>
    <t>AE-00036</t>
  </si>
  <si>
    <t>SITE-00160</t>
  </si>
  <si>
    <t>PT-89244</t>
  </si>
  <si>
    <t>2026-04-17</t>
  </si>
  <si>
    <t>Dr. Watkins</t>
  </si>
  <si>
    <t>AE-00037</t>
  </si>
  <si>
    <t>SITE-00342</t>
  </si>
  <si>
    <t>PT-91522</t>
  </si>
  <si>
    <t>2024-03-11</t>
  </si>
  <si>
    <t>Vomiting</t>
  </si>
  <si>
    <t>Dr. Banks</t>
  </si>
  <si>
    <t>AE-00038</t>
  </si>
  <si>
    <t>SITE-00270</t>
  </si>
  <si>
    <t>PT-96649</t>
  </si>
  <si>
    <t>2024-03-24</t>
  </si>
  <si>
    <t>Dr. Gonzales</t>
  </si>
  <si>
    <t>AE-00039</t>
  </si>
  <si>
    <t>SITE-00362</t>
  </si>
  <si>
    <t>PT-36467</t>
  </si>
  <si>
    <t>2024-09-29</t>
  </si>
  <si>
    <t>Dr. Chapman</t>
  </si>
  <si>
    <t>AE-00040</t>
  </si>
  <si>
    <t>SITE-00128</t>
  </si>
  <si>
    <t>PT-76164</t>
  </si>
  <si>
    <t>2026-06-28</t>
  </si>
  <si>
    <t>Dr. Davis</t>
  </si>
  <si>
    <t>AE-00041</t>
  </si>
  <si>
    <t>SITE-00086</t>
  </si>
  <si>
    <t>PT-81646</t>
  </si>
  <si>
    <t>2023-11-26</t>
  </si>
  <si>
    <t>Dr. Peterson</t>
  </si>
  <si>
    <t>AE-00042</t>
  </si>
  <si>
    <t>SITE-00256</t>
  </si>
  <si>
    <t>PT-25615</t>
  </si>
  <si>
    <t>2024-12-19</t>
  </si>
  <si>
    <t>Dr. Merritt</t>
  </si>
  <si>
    <t>AE-00043</t>
  </si>
  <si>
    <t>SITE-00028</t>
  </si>
  <si>
    <t>PT-59327</t>
  </si>
  <si>
    <t>2025-01-11</t>
  </si>
  <si>
    <t>Thrombocytopenia</t>
  </si>
  <si>
    <t>Dr. Anthony</t>
  </si>
  <si>
    <t>AE-00044</t>
  </si>
  <si>
    <t>SITE-00364</t>
  </si>
  <si>
    <t>PT-14306</t>
  </si>
  <si>
    <t>2024-06-01</t>
  </si>
  <si>
    <t>Dr. Morris</t>
  </si>
  <si>
    <t>AE-00045</t>
  </si>
  <si>
    <t>SITE-00011</t>
  </si>
  <si>
    <t>PT-31514</t>
  </si>
  <si>
    <t>2023-12-27</t>
  </si>
  <si>
    <t>AE-00046</t>
  </si>
  <si>
    <t>PT-50954</t>
  </si>
  <si>
    <t>2023-04-15</t>
  </si>
  <si>
    <t>Dr. Cervantes</t>
  </si>
  <si>
    <t>AE-00047</t>
  </si>
  <si>
    <t>SITE-00005</t>
  </si>
  <si>
    <t>PT-84560</t>
  </si>
  <si>
    <t>2025-08-25</t>
  </si>
  <si>
    <t>Dr. Hays</t>
  </si>
  <si>
    <t>AE-00048</t>
  </si>
  <si>
    <t>SITE-00286</t>
  </si>
  <si>
    <t>PT-83695</t>
  </si>
  <si>
    <t>2023-07-22</t>
  </si>
  <si>
    <t>Dr. Stone</t>
  </si>
  <si>
    <t>AE-00049</t>
  </si>
  <si>
    <t>SITE-00211</t>
  </si>
  <si>
    <t>PT-87469</t>
  </si>
  <si>
    <t>2025-01-04</t>
  </si>
  <si>
    <t>Dr. Gilbert</t>
  </si>
  <si>
    <t>AE-00050</t>
  </si>
  <si>
    <t>SITE-00184</t>
  </si>
  <si>
    <t>PT-52006</t>
  </si>
  <si>
    <t>2023-02-10</t>
  </si>
  <si>
    <t>Nausea</t>
  </si>
  <si>
    <t>Dr. Mitchell</t>
  </si>
  <si>
    <t>AE-00051</t>
  </si>
  <si>
    <t>SITE-00226</t>
  </si>
  <si>
    <t>PT-15913</t>
  </si>
  <si>
    <t>Neutropenia</t>
  </si>
  <si>
    <t>Dr. Hill</t>
  </si>
  <si>
    <t>AE-00052</t>
  </si>
  <si>
    <t>PT-86541</t>
  </si>
  <si>
    <t>2024-06-19</t>
  </si>
  <si>
    <t>Dr. Mcclure</t>
  </si>
  <si>
    <t>AE-00053</t>
  </si>
  <si>
    <t>SITE-00126</t>
  </si>
  <si>
    <t>PT-22759</t>
  </si>
  <si>
    <t>2023-11-13</t>
  </si>
  <si>
    <t>Dr. Hardin</t>
  </si>
  <si>
    <t>AE-00054</t>
  </si>
  <si>
    <t>SITE-00174</t>
  </si>
  <si>
    <t>PT-63992</t>
  </si>
  <si>
    <t>2026-08-31</t>
  </si>
  <si>
    <t>Dr. Molina</t>
  </si>
  <si>
    <t>AE-00055</t>
  </si>
  <si>
    <t>SITE-00209</t>
  </si>
  <si>
    <t>PT-42011</t>
  </si>
  <si>
    <t>Hypertension</t>
  </si>
  <si>
    <t>Dr. Estrada</t>
  </si>
  <si>
    <t>AE-00056</t>
  </si>
  <si>
    <t>SITE-00135</t>
  </si>
  <si>
    <t>PT-21133</t>
  </si>
  <si>
    <t>2023-04-11</t>
  </si>
  <si>
    <t>Dr. Clark</t>
  </si>
  <si>
    <t>AE-00057</t>
  </si>
  <si>
    <t>SITE-00245</t>
  </si>
  <si>
    <t>PT-54249</t>
  </si>
  <si>
    <t>2026-01-24</t>
  </si>
  <si>
    <t>Dr. Fischer</t>
  </si>
  <si>
    <t>AE-00058</t>
  </si>
  <si>
    <t>SITE-00007</t>
  </si>
  <si>
    <t>PT-52744</t>
  </si>
  <si>
    <t>2022-10-27</t>
  </si>
  <si>
    <t>Dr. Orr</t>
  </si>
  <si>
    <t>AE-00059</t>
  </si>
  <si>
    <t>SITE-00061</t>
  </si>
  <si>
    <t>PT-65374</t>
  </si>
  <si>
    <t>2026-07-20</t>
  </si>
  <si>
    <t>Dr. Fernandez</t>
  </si>
  <si>
    <t>AE-00060</t>
  </si>
  <si>
    <t>SITE-00337</t>
  </si>
  <si>
    <t>PT-12674</t>
  </si>
  <si>
    <t>2025-11-27</t>
  </si>
  <si>
    <t>Dr. Smith</t>
  </si>
  <si>
    <t>AE-00061</t>
  </si>
  <si>
    <t>SITE-00050</t>
  </si>
  <si>
    <t>PT-59510</t>
  </si>
  <si>
    <t>2026-01-15</t>
  </si>
  <si>
    <t>AE-00062</t>
  </si>
  <si>
    <t>PT-85043</t>
  </si>
  <si>
    <t>2023-07-11</t>
  </si>
  <si>
    <t>Dr. Mcmahon</t>
  </si>
  <si>
    <t>AE-00063</t>
  </si>
  <si>
    <t>SITE-00095</t>
  </si>
  <si>
    <t>PT-98488</t>
  </si>
  <si>
    <t>Dr. Dennis</t>
  </si>
  <si>
    <t>AE-00064</t>
  </si>
  <si>
    <t>SITE-00182</t>
  </si>
  <si>
    <t>PT-97475</t>
  </si>
  <si>
    <t>2024-10-17</t>
  </si>
  <si>
    <t>Dr. Guerra</t>
  </si>
  <si>
    <t>AE-00065</t>
  </si>
  <si>
    <t>SITE-00112</t>
  </si>
  <si>
    <t>PT-49258</t>
  </si>
  <si>
    <t>Dr. Rodriguez</t>
  </si>
  <si>
    <t>AE-00066</t>
  </si>
  <si>
    <t>SITE-00355</t>
  </si>
  <si>
    <t>PT-75136</t>
  </si>
  <si>
    <t>Dr. Kirk</t>
  </si>
  <si>
    <t>AE-00067</t>
  </si>
  <si>
    <t>SITE-00030</t>
  </si>
  <si>
    <t>PT-44754</t>
  </si>
  <si>
    <t>Dr. Reynolds</t>
  </si>
  <si>
    <t>AE-00068</t>
  </si>
  <si>
    <t>SITE-00017</t>
  </si>
  <si>
    <t>PT-62694</t>
  </si>
  <si>
    <t>Dr. Lin</t>
  </si>
  <si>
    <t>AE-00069</t>
  </si>
  <si>
    <t>PT-85784</t>
  </si>
  <si>
    <t>2026-09-06</t>
  </si>
  <si>
    <t>AE-00070</t>
  </si>
  <si>
    <t>SITE-00207</t>
  </si>
  <si>
    <t>PT-18817</t>
  </si>
  <si>
    <t>AE-00071</t>
  </si>
  <si>
    <t>SITE-00089</t>
  </si>
  <si>
    <t>PT-37490</t>
  </si>
  <si>
    <t>2023-01-11</t>
  </si>
  <si>
    <t>Dr. Mcguire</t>
  </si>
  <si>
    <t>AE-00072</t>
  </si>
  <si>
    <t>SITE-00294</t>
  </si>
  <si>
    <t>PT-76144</t>
  </si>
  <si>
    <t>2025-08-14</t>
  </si>
  <si>
    <t>Dr. Murphy</t>
  </si>
  <si>
    <t>AE-00073</t>
  </si>
  <si>
    <t>SITE-00099</t>
  </si>
  <si>
    <t>PT-64304</t>
  </si>
  <si>
    <t>2024-09-27</t>
  </si>
  <si>
    <t>AE-00074</t>
  </si>
  <si>
    <t>SITE-00311</t>
  </si>
  <si>
    <t>PT-77550</t>
  </si>
  <si>
    <t>2025-03-26</t>
  </si>
  <si>
    <t>Dr. Hunt</t>
  </si>
  <si>
    <t>AE-00075</t>
  </si>
  <si>
    <t>PT-92292</t>
  </si>
  <si>
    <t>2025-10-26</t>
  </si>
  <si>
    <t>Dr. Mann</t>
  </si>
  <si>
    <t>AE-00076</t>
  </si>
  <si>
    <t>SITE-00098</t>
  </si>
  <si>
    <t>PT-96613</t>
  </si>
  <si>
    <t>2023-12-21</t>
  </si>
  <si>
    <t>Dr. Middleton</t>
  </si>
  <si>
    <t>AE-00077</t>
  </si>
  <si>
    <t>SITE-00008</t>
  </si>
  <si>
    <t>PT-90533</t>
  </si>
  <si>
    <t>2024-06-11</t>
  </si>
  <si>
    <t>Dr. Randolph</t>
  </si>
  <si>
    <t>AE-00078</t>
  </si>
  <si>
    <t>SITE-00094</t>
  </si>
  <si>
    <t>PT-36299</t>
  </si>
  <si>
    <t>2025-11-20</t>
  </si>
  <si>
    <t>Dr. Stewart</t>
  </si>
  <si>
    <t>AE-00079</t>
  </si>
  <si>
    <t>PT-41506</t>
  </si>
  <si>
    <t>2026-01-28</t>
  </si>
  <si>
    <t>Dr. Guerrero</t>
  </si>
  <si>
    <t>AE-00080</t>
  </si>
  <si>
    <t>SITE-00283</t>
  </si>
  <si>
    <t>PT-63773</t>
  </si>
  <si>
    <t>2026-03-22</t>
  </si>
  <si>
    <t>AE-00081</t>
  </si>
  <si>
    <t>SITE-00206</t>
  </si>
  <si>
    <t>PT-36680</t>
  </si>
  <si>
    <t>2025-04-01</t>
  </si>
  <si>
    <t>AE-00082</t>
  </si>
  <si>
    <t>PT-94678</t>
  </si>
  <si>
    <t>2023-04-05</t>
  </si>
  <si>
    <t>Dr. Bennett</t>
  </si>
  <si>
    <t>AE-00083</t>
  </si>
  <si>
    <t>SITE-00084</t>
  </si>
  <si>
    <t>PT-88804</t>
  </si>
  <si>
    <t>2026-06-26</t>
  </si>
  <si>
    <t>Dr. Nunez</t>
  </si>
  <si>
    <t>AE-00084</t>
  </si>
  <si>
    <t>SITE-00161</t>
  </si>
  <si>
    <t>PT-24884</t>
  </si>
  <si>
    <t>2023-10-10</t>
  </si>
  <si>
    <t>Dr. Hernandez</t>
  </si>
  <si>
    <t>AE-00085</t>
  </si>
  <si>
    <t>PT-42189</t>
  </si>
  <si>
    <t>2025-12-19</t>
  </si>
  <si>
    <t>Dr. Gross</t>
  </si>
  <si>
    <t>AE-00086</t>
  </si>
  <si>
    <t>PT-83377</t>
  </si>
  <si>
    <t>Dr. Gonzalez</t>
  </si>
  <si>
    <t>AE-00087</t>
  </si>
  <si>
    <t>SITE-00016</t>
  </si>
  <si>
    <t>PT-14850</t>
  </si>
  <si>
    <t>2026-03-19</t>
  </si>
  <si>
    <t>Dr. Tapia</t>
  </si>
  <si>
    <t>AE-00088</t>
  </si>
  <si>
    <t>PT-27882</t>
  </si>
  <si>
    <t>2026-02-20</t>
  </si>
  <si>
    <t>Dr. Curry</t>
  </si>
  <si>
    <t>AE-00089</t>
  </si>
  <si>
    <t>SITE-00334</t>
  </si>
  <si>
    <t>PT-96333</t>
  </si>
  <si>
    <t>2022-09-22</t>
  </si>
  <si>
    <t>Myalgia</t>
  </si>
  <si>
    <t>Dr. Jones</t>
  </si>
  <si>
    <t>AE-00090</t>
  </si>
  <si>
    <t>SITE-00018</t>
  </si>
  <si>
    <t>PT-15535</t>
  </si>
  <si>
    <t>2024-12-10</t>
  </si>
  <si>
    <t>AE-00091</t>
  </si>
  <si>
    <t>SITE-00199</t>
  </si>
  <si>
    <t>PT-21000</t>
  </si>
  <si>
    <t>Dr. Barnes</t>
  </si>
  <si>
    <t>AE-00092</t>
  </si>
  <si>
    <t>SITE-00143</t>
  </si>
  <si>
    <t>PT-63347</t>
  </si>
  <si>
    <t>Dr. James</t>
  </si>
  <si>
    <t>AE-00093</t>
  </si>
  <si>
    <t>SITE-00187</t>
  </si>
  <si>
    <t>PT-28423</t>
  </si>
  <si>
    <t>2025-01-17</t>
  </si>
  <si>
    <t>Dr. Little</t>
  </si>
  <si>
    <t>AE-00094</t>
  </si>
  <si>
    <t>SITE-00056</t>
  </si>
  <si>
    <t>PT-75568</t>
  </si>
  <si>
    <t>2024-08-24</t>
  </si>
  <si>
    <t>Dr. Sandoval</t>
  </si>
  <si>
    <t>AE-00095</t>
  </si>
  <si>
    <t>SITE-00109</t>
  </si>
  <si>
    <t>PT-21829</t>
  </si>
  <si>
    <t>2023-06-07</t>
  </si>
  <si>
    <t>Dr. Evans</t>
  </si>
  <si>
    <t>AE-00096</t>
  </si>
  <si>
    <t>SITE-00197</t>
  </si>
  <si>
    <t>PT-53160</t>
  </si>
  <si>
    <t>2023-08-22</t>
  </si>
  <si>
    <t>Dr. Carter</t>
  </si>
  <si>
    <t>AE-00097</t>
  </si>
  <si>
    <t>PT-40924</t>
  </si>
  <si>
    <t>2024-08-26</t>
  </si>
  <si>
    <t>Dr. Robles</t>
  </si>
  <si>
    <t>AE-00098</t>
  </si>
  <si>
    <t>SITE-00145</t>
  </si>
  <si>
    <t>PT-24000</t>
  </si>
  <si>
    <t>Dr. Howard</t>
  </si>
  <si>
    <t>AE-00099</t>
  </si>
  <si>
    <t>PT-67602</t>
  </si>
  <si>
    <t>2024-08-20</t>
  </si>
  <si>
    <t>AE-00100</t>
  </si>
  <si>
    <t>PT-17330</t>
  </si>
  <si>
    <t>2023-03-01</t>
  </si>
  <si>
    <t>Dr. Ibarra</t>
  </si>
  <si>
    <t>AE-00101</t>
  </si>
  <si>
    <t>SITE-00201</t>
  </si>
  <si>
    <t>PT-24806</t>
  </si>
  <si>
    <t>2025-09-24</t>
  </si>
  <si>
    <t>AE-00102</t>
  </si>
  <si>
    <t>SITE-00327</t>
  </si>
  <si>
    <t>PT-99487</t>
  </si>
  <si>
    <t>2026-08-03</t>
  </si>
  <si>
    <t>Dr. Nguyen</t>
  </si>
  <si>
    <t>AE-00103</t>
  </si>
  <si>
    <t>SITE-00299</t>
  </si>
  <si>
    <t>PT-57578</t>
  </si>
  <si>
    <t>2025-05-12</t>
  </si>
  <si>
    <t>AE-00104</t>
  </si>
  <si>
    <t>PT-12762</t>
  </si>
  <si>
    <t>2024-07-27</t>
  </si>
  <si>
    <t>Dr. Flores</t>
  </si>
  <si>
    <t>AE-00105</t>
  </si>
  <si>
    <t>PT-96798</t>
  </si>
  <si>
    <t>2023-03-02</t>
  </si>
  <si>
    <t>Dr. Terry</t>
  </si>
  <si>
    <t>AE-00106</t>
  </si>
  <si>
    <t>SITE-00271</t>
  </si>
  <si>
    <t>PT-82447</t>
  </si>
  <si>
    <t>2025-07-13</t>
  </si>
  <si>
    <t>Dr. Ayala</t>
  </si>
  <si>
    <t>AE-00107</t>
  </si>
  <si>
    <t>PT-57560</t>
  </si>
  <si>
    <t>Dr. Ballard</t>
  </si>
  <si>
    <t>AE-00108</t>
  </si>
  <si>
    <t>SITE-00217</t>
  </si>
  <si>
    <t>PT-60917</t>
  </si>
  <si>
    <t>2024-09-01</t>
  </si>
  <si>
    <t>Dr. Jenkins</t>
  </si>
  <si>
    <t>AE-00109</t>
  </si>
  <si>
    <t>PT-40862</t>
  </si>
  <si>
    <t>AE-00110</t>
  </si>
  <si>
    <t>SITE-00168</t>
  </si>
  <si>
    <t>PT-67520</t>
  </si>
  <si>
    <t>Dr. Wu</t>
  </si>
  <si>
    <t>AE-00111</t>
  </si>
  <si>
    <t>SITE-00325</t>
  </si>
  <si>
    <t>PT-45918</t>
  </si>
  <si>
    <t>2025-11-03</t>
  </si>
  <si>
    <t>Dr. Brown</t>
  </si>
  <si>
    <t>AE-00112</t>
  </si>
  <si>
    <t>SITE-00235</t>
  </si>
  <si>
    <t>PT-64127</t>
  </si>
  <si>
    <t>2025-10-18</t>
  </si>
  <si>
    <t>AE-00113</t>
  </si>
  <si>
    <t>SITE-00155</t>
  </si>
  <si>
    <t>PT-31016</t>
  </si>
  <si>
    <t>Dr. Myers</t>
  </si>
  <si>
    <t>AE-00114</t>
  </si>
  <si>
    <t>SITE-00091</t>
  </si>
  <si>
    <t>PT-65164</t>
  </si>
  <si>
    <t>2024-06-24</t>
  </si>
  <si>
    <t>Dr. Ross</t>
  </si>
  <si>
    <t>AE-00115</t>
  </si>
  <si>
    <t>SITE-00176</t>
  </si>
  <si>
    <t>PT-13584</t>
  </si>
  <si>
    <t>2026-05-12</t>
  </si>
  <si>
    <t>Dr. Adams</t>
  </si>
  <si>
    <t>AE-00116</t>
  </si>
  <si>
    <t>SITE-00282</t>
  </si>
  <si>
    <t>PT-68117</t>
  </si>
  <si>
    <t>2025-08-16</t>
  </si>
  <si>
    <t>Dr. Morgan</t>
  </si>
  <si>
    <t>AE-00117</t>
  </si>
  <si>
    <t>SITE-00223</t>
  </si>
  <si>
    <t>PT-36224</t>
  </si>
  <si>
    <t>2025-12-26</t>
  </si>
  <si>
    <t>Dr. Parker</t>
  </si>
  <si>
    <t>AE-00118</t>
  </si>
  <si>
    <t>SITE-00043</t>
  </si>
  <si>
    <t>PT-30686</t>
  </si>
  <si>
    <t>2024-05-08</t>
  </si>
  <si>
    <t>Dr. Armstrong</t>
  </si>
  <si>
    <t>AE-00119</t>
  </si>
  <si>
    <t>SITE-00136</t>
  </si>
  <si>
    <t>PT-99883</t>
  </si>
  <si>
    <t>2023-05-19</t>
  </si>
  <si>
    <t>Dr. Harris</t>
  </si>
  <si>
    <t>AE-00120</t>
  </si>
  <si>
    <t>SITE-00323</t>
  </si>
  <si>
    <t>PT-72700</t>
  </si>
  <si>
    <t>2025-03-18</t>
  </si>
  <si>
    <t>Dr. Gould</t>
  </si>
  <si>
    <t>AE-00121</t>
  </si>
  <si>
    <t>PT-52936</t>
  </si>
  <si>
    <t>2025-03-01</t>
  </si>
  <si>
    <t>Dr. Rivera</t>
  </si>
  <si>
    <t>AE-00122</t>
  </si>
  <si>
    <t>PT-33840</t>
  </si>
  <si>
    <t>AE-00123</t>
  </si>
  <si>
    <t>SITE-00119</t>
  </si>
  <si>
    <t>PT-39423</t>
  </si>
  <si>
    <t>2025-08-07</t>
  </si>
  <si>
    <t>Dr. Lang</t>
  </si>
  <si>
    <t>AE-00124</t>
  </si>
  <si>
    <t>SITE-00035</t>
  </si>
  <si>
    <t>PT-94817</t>
  </si>
  <si>
    <t>2023-01-27</t>
  </si>
  <si>
    <t>Dr. Bush</t>
  </si>
  <si>
    <t>AE-00125</t>
  </si>
  <si>
    <t>SITE-00040</t>
  </si>
  <si>
    <t>PT-70610</t>
  </si>
  <si>
    <t>2026-05-11</t>
  </si>
  <si>
    <t>Dr. Wang</t>
  </si>
  <si>
    <t>AE-00126</t>
  </si>
  <si>
    <t>PT-32119</t>
  </si>
  <si>
    <t>2024-12-03</t>
  </si>
  <si>
    <t>Dr. Pena</t>
  </si>
  <si>
    <t>AE-00127</t>
  </si>
  <si>
    <t>PT-66217</t>
  </si>
  <si>
    <t>2024-10-14</t>
  </si>
  <si>
    <t>AE-00128</t>
  </si>
  <si>
    <t>SITE-00164</t>
  </si>
  <si>
    <t>PT-21673</t>
  </si>
  <si>
    <t>2023-07-04</t>
  </si>
  <si>
    <t>Dr. Moore</t>
  </si>
  <si>
    <t>AE-00129</t>
  </si>
  <si>
    <t>PT-25381</t>
  </si>
  <si>
    <t>2024-11-08</t>
  </si>
  <si>
    <t>Dr. Heath</t>
  </si>
  <si>
    <t>AE-00130</t>
  </si>
  <si>
    <t>PT-98291</t>
  </si>
  <si>
    <t>2023-08-18</t>
  </si>
  <si>
    <t>Dr. Solis</t>
  </si>
  <si>
    <t>AE-00131</t>
  </si>
  <si>
    <t>SITE-00231</t>
  </si>
  <si>
    <t>PT-36626</t>
  </si>
  <si>
    <t>2026-05-09</t>
  </si>
  <si>
    <t>AE-00132</t>
  </si>
  <si>
    <t>SITE-00063</t>
  </si>
  <si>
    <t>PT-74771</t>
  </si>
  <si>
    <t>2023-07-29</t>
  </si>
  <si>
    <t>Dr. Quinn</t>
  </si>
  <si>
    <t>AE-00133</t>
  </si>
  <si>
    <t>SITE-00190</t>
  </si>
  <si>
    <t>PT-37080</t>
  </si>
  <si>
    <t>2026-06-21</t>
  </si>
  <si>
    <t>AE-00134</t>
  </si>
  <si>
    <t>SITE-00122</t>
  </si>
  <si>
    <t>PT-98760</t>
  </si>
  <si>
    <t>2022-10-17</t>
  </si>
  <si>
    <t>Dr. Bentley</t>
  </si>
  <si>
    <t>AE-00135</t>
  </si>
  <si>
    <t>SITE-00185</t>
  </si>
  <si>
    <t>PT-63546</t>
  </si>
  <si>
    <t>2023-02-14</t>
  </si>
  <si>
    <t>Dr. Sanders</t>
  </si>
  <si>
    <t>AE-00136</t>
  </si>
  <si>
    <t>SITE-00267</t>
  </si>
  <si>
    <t>PT-44314</t>
  </si>
  <si>
    <t>2024-08-25</t>
  </si>
  <si>
    <t>AE-00137</t>
  </si>
  <si>
    <t>SITE-00296</t>
  </si>
  <si>
    <t>PT-58449</t>
  </si>
  <si>
    <t>2023-12-02</t>
  </si>
  <si>
    <t>Dr. Hall</t>
  </si>
  <si>
    <t>AE-00138</t>
  </si>
  <si>
    <t>SITE-00303</t>
  </si>
  <si>
    <t>PT-11352</t>
  </si>
  <si>
    <t>2025-10-19</t>
  </si>
  <si>
    <t>Dr. Wright</t>
  </si>
  <si>
    <t>AE-00139</t>
  </si>
  <si>
    <t>PT-62108</t>
  </si>
  <si>
    <t>2023-10-20</t>
  </si>
  <si>
    <t>AE-00140</t>
  </si>
  <si>
    <t>PT-65481</t>
  </si>
  <si>
    <t>2025-11-05</t>
  </si>
  <si>
    <t>Dr. Rios</t>
  </si>
  <si>
    <t>AE-00141</t>
  </si>
  <si>
    <t>SITE-00215</t>
  </si>
  <si>
    <t>PT-22488</t>
  </si>
  <si>
    <t>2023-03-28</t>
  </si>
  <si>
    <t>Dr. Yang</t>
  </si>
  <si>
    <t>AE-00142</t>
  </si>
  <si>
    <t>PT-53628</t>
  </si>
  <si>
    <t>2023-10-17</t>
  </si>
  <si>
    <t>AE-00143</t>
  </si>
  <si>
    <t>SITE-00034</t>
  </si>
  <si>
    <t>PT-89478</t>
  </si>
  <si>
    <t>2023-01-03</t>
  </si>
  <si>
    <t>Dr. Bowen</t>
  </si>
  <si>
    <t>AE-00144</t>
  </si>
  <si>
    <t>PT-43247</t>
  </si>
  <si>
    <t>2025-10-05</t>
  </si>
  <si>
    <t>Dr. Perry</t>
  </si>
  <si>
    <t>AE-00145</t>
  </si>
  <si>
    <t>SITE-00068</t>
  </si>
  <si>
    <t>PT-61733</t>
  </si>
  <si>
    <t>2022-10-09</t>
  </si>
  <si>
    <t>Dr. Greer</t>
  </si>
  <si>
    <t>AE-00146</t>
  </si>
  <si>
    <t>SITE-00341</t>
  </si>
  <si>
    <t>PT-33510</t>
  </si>
  <si>
    <t>AE-00147</t>
  </si>
  <si>
    <t>SITE-00180</t>
  </si>
  <si>
    <t>PT-74597</t>
  </si>
  <si>
    <t>2025-08-27</t>
  </si>
  <si>
    <t>Dr. Sparks</t>
  </si>
  <si>
    <t>AE-00148</t>
  </si>
  <si>
    <t>PT-21750</t>
  </si>
  <si>
    <t>2023-06-28</t>
  </si>
  <si>
    <t>Dr. Obrien</t>
  </si>
  <si>
    <t>AE-00149</t>
  </si>
  <si>
    <t>SITE-00254</t>
  </si>
  <si>
    <t>PT-44131</t>
  </si>
  <si>
    <t>2023-12-17</t>
  </si>
  <si>
    <t>AE-00150</t>
  </si>
  <si>
    <t>SITE-00009</t>
  </si>
  <si>
    <t>PT-26760</t>
  </si>
  <si>
    <t>2024-10-05</t>
  </si>
  <si>
    <t>AE-00151</t>
  </si>
  <si>
    <t>PT-57263</t>
  </si>
  <si>
    <t>2023-10-23</t>
  </si>
  <si>
    <t>AE-00152</t>
  </si>
  <si>
    <t>PT-90338</t>
  </si>
  <si>
    <t>Dr. Douglas</t>
  </si>
  <si>
    <t>AE-00153</t>
  </si>
  <si>
    <t>SITE-00042</t>
  </si>
  <si>
    <t>PT-51358</t>
  </si>
  <si>
    <t>2024-08-06</t>
  </si>
  <si>
    <t>AE-00154</t>
  </si>
  <si>
    <t>PT-96169</t>
  </si>
  <si>
    <t>2023-01-31</t>
  </si>
  <si>
    <t>Dr. Rasmussen</t>
  </si>
  <si>
    <t>AE-00155</t>
  </si>
  <si>
    <t>SITE-00142</t>
  </si>
  <si>
    <t>PT-29480</t>
  </si>
  <si>
    <t>2024-12-15</t>
  </si>
  <si>
    <t>Dr. Webb</t>
  </si>
  <si>
    <t>AE-00156</t>
  </si>
  <si>
    <t>PT-14700</t>
  </si>
  <si>
    <t>Dr. Ferguson</t>
  </si>
  <si>
    <t>AE-00157</t>
  </si>
  <si>
    <t>SITE-00279</t>
  </si>
  <si>
    <t>PT-71228</t>
  </si>
  <si>
    <t>2023-09-10</t>
  </si>
  <si>
    <t>AE-00158</t>
  </si>
  <si>
    <t>PT-56729</t>
  </si>
  <si>
    <t>2024-09-12</t>
  </si>
  <si>
    <t>Dr. Long</t>
  </si>
  <si>
    <t>AE-00159</t>
  </si>
  <si>
    <t>PT-74616</t>
  </si>
  <si>
    <t>2024-03-15</t>
  </si>
  <si>
    <t>Dr. Payne</t>
  </si>
  <si>
    <t>AE-00160</t>
  </si>
  <si>
    <t>PT-55823</t>
  </si>
  <si>
    <t>2023-02-23</t>
  </si>
  <si>
    <t>Dr. Walker</t>
  </si>
  <si>
    <t>AE-00161</t>
  </si>
  <si>
    <t>SITE-00156</t>
  </si>
  <si>
    <t>PT-33678</t>
  </si>
  <si>
    <t>2026-08-11</t>
  </si>
  <si>
    <t>AE-00162</t>
  </si>
  <si>
    <t>PT-96918</t>
  </si>
  <si>
    <t>Dr. Wood</t>
  </si>
  <si>
    <t>AE-00163</t>
  </si>
  <si>
    <t>PT-10540</t>
  </si>
  <si>
    <t>2024-12-18</t>
  </si>
  <si>
    <t>Dr. Day</t>
  </si>
  <si>
    <t>AE-00164</t>
  </si>
  <si>
    <t>PT-20070</t>
  </si>
  <si>
    <t>2024-01-16</t>
  </si>
  <si>
    <t>Dr. Pacheco</t>
  </si>
  <si>
    <t>AE-00165</t>
  </si>
  <si>
    <t>SITE-00189</t>
  </si>
  <si>
    <t>PT-22360</t>
  </si>
  <si>
    <t>2026-08-12</t>
  </si>
  <si>
    <t>AE-00166</t>
  </si>
  <si>
    <t>SITE-00205</t>
  </si>
  <si>
    <t>PT-99300</t>
  </si>
  <si>
    <t>2023-05-23</t>
  </si>
  <si>
    <t>Dr. Hancock</t>
  </si>
  <si>
    <t>AE-00167</t>
  </si>
  <si>
    <t>SITE-00230</t>
  </si>
  <si>
    <t>PT-87376</t>
  </si>
  <si>
    <t>2024-09-02</t>
  </si>
  <si>
    <t>AE-00168</t>
  </si>
  <si>
    <t>SITE-00316</t>
  </si>
  <si>
    <t>PT-13784</t>
  </si>
  <si>
    <t>2023-04-12</t>
  </si>
  <si>
    <t>AE-00169</t>
  </si>
  <si>
    <t>SITE-00346</t>
  </si>
  <si>
    <t>PT-96447</t>
  </si>
  <si>
    <t>2024-08-09</t>
  </si>
  <si>
    <t>Dr. Sharp</t>
  </si>
  <si>
    <t>AE-00170</t>
  </si>
  <si>
    <t>SITE-00272</t>
  </si>
  <si>
    <t>PT-45300</t>
  </si>
  <si>
    <t>2024-12-23</t>
  </si>
  <si>
    <t>AE-00171</t>
  </si>
  <si>
    <t>PT-15747</t>
  </si>
  <si>
    <t>2025-10-12</t>
  </si>
  <si>
    <t>Dr. King</t>
  </si>
  <si>
    <t>AE-00172</t>
  </si>
  <si>
    <t>PT-84600</t>
  </si>
  <si>
    <t>2023-12-16</t>
  </si>
  <si>
    <t>AE-00173</t>
  </si>
  <si>
    <t>PT-94363</t>
  </si>
  <si>
    <t>2023-04-25</t>
  </si>
  <si>
    <t>AE-00174</t>
  </si>
  <si>
    <t>SITE-00348</t>
  </si>
  <si>
    <t>PT-19269</t>
  </si>
  <si>
    <t>2024-12-21</t>
  </si>
  <si>
    <t>Dr. Russell</t>
  </si>
  <si>
    <t>AE-00175</t>
  </si>
  <si>
    <t>SITE-00244</t>
  </si>
  <si>
    <t>PT-33332</t>
  </si>
  <si>
    <t>2022-09-26</t>
  </si>
  <si>
    <t>AE-00176</t>
  </si>
  <si>
    <t>PT-37292</t>
  </si>
  <si>
    <t>Dr. Norton</t>
  </si>
  <si>
    <t>AE-00177</t>
  </si>
  <si>
    <t>SITE-00314</t>
  </si>
  <si>
    <t>PT-47347</t>
  </si>
  <si>
    <t>2024-11-22</t>
  </si>
  <si>
    <t>AE-00178</t>
  </si>
  <si>
    <t>SITE-00073</t>
  </si>
  <si>
    <t>PT-74336</t>
  </si>
  <si>
    <t>2025-04-26</t>
  </si>
  <si>
    <t>AE-00179</t>
  </si>
  <si>
    <t>PT-89103</t>
  </si>
  <si>
    <t>2025-07-18</t>
  </si>
  <si>
    <t>Dr. Robertson</t>
  </si>
  <si>
    <t>AE-00180</t>
  </si>
  <si>
    <t>SITE-00372</t>
  </si>
  <si>
    <t>PT-22597</t>
  </si>
  <si>
    <t>2026-02-22</t>
  </si>
  <si>
    <t>Dr. Haney</t>
  </si>
  <si>
    <t>AE-00181</t>
  </si>
  <si>
    <t>SITE-00183</t>
  </si>
  <si>
    <t>PT-68385</t>
  </si>
  <si>
    <t>Dr. Garcia</t>
  </si>
  <si>
    <t>AE-00182</t>
  </si>
  <si>
    <t>SITE-00139</t>
  </si>
  <si>
    <t>PT-83801</t>
  </si>
  <si>
    <t>2025-07-04</t>
  </si>
  <si>
    <t>AE-00183</t>
  </si>
  <si>
    <t>SITE-00353</t>
  </si>
  <si>
    <t>PT-65382</t>
  </si>
  <si>
    <t>Dr. Martin</t>
  </si>
  <si>
    <t>AE-00184</t>
  </si>
  <si>
    <t>SITE-00108</t>
  </si>
  <si>
    <t>PT-92665</t>
  </si>
  <si>
    <t>2025-09-14</t>
  </si>
  <si>
    <t>AE-00185</t>
  </si>
  <si>
    <t>SITE-00241</t>
  </si>
  <si>
    <t>PT-77284</t>
  </si>
  <si>
    <t>2024-06-17</t>
  </si>
  <si>
    <t>Dr. Stanton</t>
  </si>
  <si>
    <t>AE-00186</t>
  </si>
  <si>
    <t>PT-39390</t>
  </si>
  <si>
    <t>2022-11-14</t>
  </si>
  <si>
    <t>Dr. Coleman</t>
  </si>
  <si>
    <t>AE-00187</t>
  </si>
  <si>
    <t>SITE-00044</t>
  </si>
  <si>
    <t>PT-92517</t>
  </si>
  <si>
    <t>2023-05-25</t>
  </si>
  <si>
    <t>Dr. Pratt</t>
  </si>
  <si>
    <t>AE-00188</t>
  </si>
  <si>
    <t>SITE-00191</t>
  </si>
  <si>
    <t>PT-20378</t>
  </si>
  <si>
    <t>AE-00189</t>
  </si>
  <si>
    <t>PT-26749</t>
  </si>
  <si>
    <t>2024-11-24</t>
  </si>
  <si>
    <t>AE-00190</t>
  </si>
  <si>
    <t>PT-84519</t>
  </si>
  <si>
    <t>2023-11-25</t>
  </si>
  <si>
    <t>Dr. Graham</t>
  </si>
  <si>
    <t>AE-00191</t>
  </si>
  <si>
    <t>SITE-00004</t>
  </si>
  <si>
    <t>PT-76932</t>
  </si>
  <si>
    <t>2023-11-21</t>
  </si>
  <si>
    <t>Dr. Weeks</t>
  </si>
  <si>
    <t>AE-00192</t>
  </si>
  <si>
    <t>SITE-00258</t>
  </si>
  <si>
    <t>PT-70903</t>
  </si>
  <si>
    <t>2025-06-01</t>
  </si>
  <si>
    <t>Dr. Mills</t>
  </si>
  <si>
    <t>AE-00193</t>
  </si>
  <si>
    <t>PT-43405</t>
  </si>
  <si>
    <t>2025-03-04</t>
  </si>
  <si>
    <t>Dr. Watson</t>
  </si>
  <si>
    <t>AE-00194</t>
  </si>
  <si>
    <t>PT-12132</t>
  </si>
  <si>
    <t>2025-04-24</t>
  </si>
  <si>
    <t>Dr. Thomas</t>
  </si>
  <si>
    <t>AE-00195</t>
  </si>
  <si>
    <t>PT-33882</t>
  </si>
  <si>
    <t>2024-10-20</t>
  </si>
  <si>
    <t>AE-00196</t>
  </si>
  <si>
    <t>PT-64558</t>
  </si>
  <si>
    <t>2025-03-02</t>
  </si>
  <si>
    <t>Dr. Klein</t>
  </si>
  <si>
    <t>AE-00197</t>
  </si>
  <si>
    <t>SITE-00236</t>
  </si>
  <si>
    <t>PT-69637</t>
  </si>
  <si>
    <t>2024-10-15</t>
  </si>
  <si>
    <t>AE-00198</t>
  </si>
  <si>
    <t>SITE-00194</t>
  </si>
  <si>
    <t>PT-34535</t>
  </si>
  <si>
    <t>2024-07-24</t>
  </si>
  <si>
    <t>Dr. Mayer</t>
  </si>
  <si>
    <t>AE-00199</t>
  </si>
  <si>
    <t>SITE-00186</t>
  </si>
  <si>
    <t>PT-89174</t>
  </si>
  <si>
    <t>2026-06-02</t>
  </si>
  <si>
    <t>Dr. Cortez</t>
  </si>
  <si>
    <t>AE-00200</t>
  </si>
  <si>
    <t>SITE-00148</t>
  </si>
  <si>
    <t>PT-80041</t>
  </si>
  <si>
    <t>2026-02-13</t>
  </si>
  <si>
    <t>Dr. Taylor</t>
  </si>
  <si>
    <t>AE-00201</t>
  </si>
  <si>
    <t>PT-32509</t>
  </si>
  <si>
    <t>Dr. Calderon</t>
  </si>
  <si>
    <t>AE-00202</t>
  </si>
  <si>
    <t>SITE-00328</t>
  </si>
  <si>
    <t>PT-96208</t>
  </si>
  <si>
    <t>2022-10-02</t>
  </si>
  <si>
    <t>Dr. Butler</t>
  </si>
  <si>
    <t>AE-00203</t>
  </si>
  <si>
    <t>PT-91067</t>
  </si>
  <si>
    <t>AE-00204</t>
  </si>
  <si>
    <t>SITE-00065</t>
  </si>
  <si>
    <t>PT-98316</t>
  </si>
  <si>
    <t>2026-08-14</t>
  </si>
  <si>
    <t>Dr. Collins</t>
  </si>
  <si>
    <t>AE-00205</t>
  </si>
  <si>
    <t>SITE-00319</t>
  </si>
  <si>
    <t>PT-26395</t>
  </si>
  <si>
    <t>2023-06-19</t>
  </si>
  <si>
    <t>Dr. Benson</t>
  </si>
  <si>
    <t>AE-00206</t>
  </si>
  <si>
    <t>SITE-00052</t>
  </si>
  <si>
    <t>PT-24668</t>
  </si>
  <si>
    <t>2024-11-11</t>
  </si>
  <si>
    <t>AE-00207</t>
  </si>
  <si>
    <t>SITE-00141</t>
  </si>
  <si>
    <t>PT-37424</t>
  </si>
  <si>
    <t>2022-12-16</t>
  </si>
  <si>
    <t>Dr. Harrison</t>
  </si>
  <si>
    <t>AE-00208</t>
  </si>
  <si>
    <t>SITE-00121</t>
  </si>
  <si>
    <t>PT-41690</t>
  </si>
  <si>
    <t>2023-05-04</t>
  </si>
  <si>
    <t>Dr. Bell</t>
  </si>
  <si>
    <t>AE-00209</t>
  </si>
  <si>
    <t>SITE-00373</t>
  </si>
  <si>
    <t>PT-49441</t>
  </si>
  <si>
    <t>2024-12-12</t>
  </si>
  <si>
    <t>Dr. Perez</t>
  </si>
  <si>
    <t>AE-00210</t>
  </si>
  <si>
    <t>SITE-00188</t>
  </si>
  <si>
    <t>PT-65296</t>
  </si>
  <si>
    <t>2025-03-24</t>
  </si>
  <si>
    <t>Dr. Reilly</t>
  </si>
  <si>
    <t>AE-00211</t>
  </si>
  <si>
    <t>SITE-00078</t>
  </si>
  <si>
    <t>PT-29978</t>
  </si>
  <si>
    <t>Dr. Hoover</t>
  </si>
  <si>
    <t>AE-00212</t>
  </si>
  <si>
    <t>PT-68918</t>
  </si>
  <si>
    <t>2026-03-08</t>
  </si>
  <si>
    <t>Dr. Silva</t>
  </si>
  <si>
    <t>AE-00213</t>
  </si>
  <si>
    <t>SITE-00075</t>
  </si>
  <si>
    <t>PT-48644</t>
  </si>
  <si>
    <t>2023-12-08</t>
  </si>
  <si>
    <t>Dr. Weber</t>
  </si>
  <si>
    <t>AE-00214</t>
  </si>
  <si>
    <t>SITE-00262</t>
  </si>
  <si>
    <t>PT-53758</t>
  </si>
  <si>
    <t>2024-04-28</t>
  </si>
  <si>
    <t>Dr. Scott</t>
  </si>
  <si>
    <t>AE-00215</t>
  </si>
  <si>
    <t>SITE-00088</t>
  </si>
  <si>
    <t>PT-66595</t>
  </si>
  <si>
    <t>2024-11-15</t>
  </si>
  <si>
    <t>Dr. Hopkins</t>
  </si>
  <si>
    <t>AE-00216</t>
  </si>
  <si>
    <t>PT-85846</t>
  </si>
  <si>
    <t>2023-01-09</t>
  </si>
  <si>
    <t>AE-00217</t>
  </si>
  <si>
    <t>PT-73897</t>
  </si>
  <si>
    <t>2025-08-19</t>
  </si>
  <si>
    <t>Dr. Ramirez</t>
  </si>
  <si>
    <t>AE-00218</t>
  </si>
  <si>
    <t>PT-90149</t>
  </si>
  <si>
    <t>2023-10-06</t>
  </si>
  <si>
    <t>AE-00219</t>
  </si>
  <si>
    <t>PT-79246</t>
  </si>
  <si>
    <t>2025-11-24</t>
  </si>
  <si>
    <t>Dr. Matthews</t>
  </si>
  <si>
    <t>AE-00220</t>
  </si>
  <si>
    <t>PT-51399</t>
  </si>
  <si>
    <t>AE-00221</t>
  </si>
  <si>
    <t>PT-94974</t>
  </si>
  <si>
    <t>Dr. Vargas</t>
  </si>
  <si>
    <t>AE-00222</t>
  </si>
  <si>
    <t>PT-74852</t>
  </si>
  <si>
    <t>2023-10-27</t>
  </si>
  <si>
    <t>Dr. Aguirre</t>
  </si>
  <si>
    <t>AE-00223</t>
  </si>
  <si>
    <t>PT-12727</t>
  </si>
  <si>
    <t>2026-03-13</t>
  </si>
  <si>
    <t>Dr. Barnett</t>
  </si>
  <si>
    <t>AE-00224</t>
  </si>
  <si>
    <t>SITE-00014</t>
  </si>
  <si>
    <t>PT-71504</t>
  </si>
  <si>
    <t>Dr. Jackson</t>
  </si>
  <si>
    <t>AE-00225</t>
  </si>
  <si>
    <t>PT-87025</t>
  </si>
  <si>
    <t>2025-11-04</t>
  </si>
  <si>
    <t>AE-00226</t>
  </si>
  <si>
    <t>SITE-00208</t>
  </si>
  <si>
    <t>PT-48455</t>
  </si>
  <si>
    <t>2023-01-29</t>
  </si>
  <si>
    <t>AE-00227</t>
  </si>
  <si>
    <t>SITE-00306</t>
  </si>
  <si>
    <t>PT-95524</t>
  </si>
  <si>
    <t>2023-04-19</t>
  </si>
  <si>
    <t>AE-00228</t>
  </si>
  <si>
    <t>SITE-00300</t>
  </si>
  <si>
    <t>PT-91506</t>
  </si>
  <si>
    <t>2026-03-17</t>
  </si>
  <si>
    <t>AE-00229</t>
  </si>
  <si>
    <t>SITE-00177</t>
  </si>
  <si>
    <t>PT-21297</t>
  </si>
  <si>
    <t>AE-00230</t>
  </si>
  <si>
    <t>SITE-00022</t>
  </si>
  <si>
    <t>PT-36146</t>
  </si>
  <si>
    <t>2024-10-04</t>
  </si>
  <si>
    <t>AE-00231</t>
  </si>
  <si>
    <t>SITE-00179</t>
  </si>
  <si>
    <t>PT-64523</t>
  </si>
  <si>
    <t>2025-05-15</t>
  </si>
  <si>
    <t>AE-00232</t>
  </si>
  <si>
    <t>SITE-00093</t>
  </si>
  <si>
    <t>PT-37450</t>
  </si>
  <si>
    <t>2024-09-17</t>
  </si>
  <si>
    <t>AE-00233</t>
  </si>
  <si>
    <t>SITE-00173</t>
  </si>
  <si>
    <t>PT-57026</t>
  </si>
  <si>
    <t>2024-12-13</t>
  </si>
  <si>
    <t>AE-00234</t>
  </si>
  <si>
    <t>SITE-00370</t>
  </si>
  <si>
    <t>PT-30788</t>
  </si>
  <si>
    <t>2024-04-02</t>
  </si>
  <si>
    <t>Dr. Wells</t>
  </si>
  <si>
    <t>AE-00235</t>
  </si>
  <si>
    <t>PT-54267</t>
  </si>
  <si>
    <t>Dr. Boyd</t>
  </si>
  <si>
    <t>AE-00236</t>
  </si>
  <si>
    <t>SITE-00058</t>
  </si>
  <si>
    <t>PT-39712</t>
  </si>
  <si>
    <t>2024-10-31</t>
  </si>
  <si>
    <t>Dr. Ware</t>
  </si>
  <si>
    <t>AE-00237</t>
  </si>
  <si>
    <t>PT-43793</t>
  </si>
  <si>
    <t>2026-01-29</t>
  </si>
  <si>
    <t>Dr. Moses</t>
  </si>
  <si>
    <t>AE-00238</t>
  </si>
  <si>
    <t>SITE-00216</t>
  </si>
  <si>
    <t>PT-83010</t>
  </si>
  <si>
    <t>2026-06-29</t>
  </si>
  <si>
    <t>Dr. Bass</t>
  </si>
  <si>
    <t>AE-00239</t>
  </si>
  <si>
    <t>PT-89205</t>
  </si>
  <si>
    <t>2025-07-22</t>
  </si>
  <si>
    <t>Dr. Larsen</t>
  </si>
  <si>
    <t>AE-00240</t>
  </si>
  <si>
    <t>SITE-00318</t>
  </si>
  <si>
    <t>PT-69917</t>
  </si>
  <si>
    <t>2024-12-14</t>
  </si>
  <si>
    <t>Dr. Henry</t>
  </si>
  <si>
    <t>AE-00241</t>
  </si>
  <si>
    <t>PT-89908</t>
  </si>
  <si>
    <t>2025-11-12</t>
  </si>
  <si>
    <t>Dr. Jennings</t>
  </si>
  <si>
    <t>AE-00242</t>
  </si>
  <si>
    <t>SITE-00315</t>
  </si>
  <si>
    <t>PT-23816</t>
  </si>
  <si>
    <t>AE-00243</t>
  </si>
  <si>
    <t>PT-57400</t>
  </si>
  <si>
    <t>2024-02-08</t>
  </si>
  <si>
    <t>AE-00244</t>
  </si>
  <si>
    <t>PT-76308</t>
  </si>
  <si>
    <t>2024-03-04</t>
  </si>
  <si>
    <t>Dr. Owens</t>
  </si>
  <si>
    <t>AE-00245</t>
  </si>
  <si>
    <t>SITE-00287</t>
  </si>
  <si>
    <t>PT-94815</t>
  </si>
  <si>
    <t>2025-05-23</t>
  </si>
  <si>
    <t>Dr. Chandler</t>
  </si>
  <si>
    <t>AE-00246</t>
  </si>
  <si>
    <t>PT-26119</t>
  </si>
  <si>
    <t>2023-07-27</t>
  </si>
  <si>
    <t>Dr. Castro</t>
  </si>
  <si>
    <t>AE-00247</t>
  </si>
  <si>
    <t>PT-10863</t>
  </si>
  <si>
    <t>2026-09-13</t>
  </si>
  <si>
    <t>Dr. Ayers</t>
  </si>
  <si>
    <t>AE-00248</t>
  </si>
  <si>
    <t>PT-47585</t>
  </si>
  <si>
    <t>AE-00249</t>
  </si>
  <si>
    <t>PT-44867</t>
  </si>
  <si>
    <t>2025-09-13</t>
  </si>
  <si>
    <t>AE-00250</t>
  </si>
  <si>
    <t>SITE-00117</t>
  </si>
  <si>
    <t>PT-92502</t>
  </si>
  <si>
    <t>Dr. Fox</t>
  </si>
  <si>
    <t>AE-00251</t>
  </si>
  <si>
    <t>SITE-00001</t>
  </si>
  <si>
    <t>PT-39908</t>
  </si>
  <si>
    <t>AE-00252</t>
  </si>
  <si>
    <t>SITE-00352</t>
  </si>
  <si>
    <t>PT-63648</t>
  </si>
  <si>
    <t>2023-02-02</t>
  </si>
  <si>
    <t>AE-00253</t>
  </si>
  <si>
    <t>SITE-00048</t>
  </si>
  <si>
    <t>PT-68009</t>
  </si>
  <si>
    <t>2023-09-23</t>
  </si>
  <si>
    <t>Dr. Dorsey</t>
  </si>
  <si>
    <t>AE-00254</t>
  </si>
  <si>
    <t>SITE-00062</t>
  </si>
  <si>
    <t>PT-77809</t>
  </si>
  <si>
    <t>AE-00255</t>
  </si>
  <si>
    <t>PT-51262</t>
  </si>
  <si>
    <t>2023-10-24</t>
  </si>
  <si>
    <t>Dr. Mendoza</t>
  </si>
  <si>
    <t>AE-00256</t>
  </si>
  <si>
    <t>PT-18056</t>
  </si>
  <si>
    <t>2022-11-21</t>
  </si>
  <si>
    <t>Dr. Dominguez</t>
  </si>
  <si>
    <t>AE-00257</t>
  </si>
  <si>
    <t>PT-94078</t>
  </si>
  <si>
    <t>2023-09-22</t>
  </si>
  <si>
    <t>Dr. Garrett</t>
  </si>
  <si>
    <t>AE-00258</t>
  </si>
  <si>
    <t>PT-96554</t>
  </si>
  <si>
    <t>2026-08-05</t>
  </si>
  <si>
    <t>Dr. Morrow</t>
  </si>
  <si>
    <t>AE-00259</t>
  </si>
  <si>
    <t>PT-62691</t>
  </si>
  <si>
    <t>2026-03-01</t>
  </si>
  <si>
    <t>Dr. Pennington</t>
  </si>
  <si>
    <t>AE-00260</t>
  </si>
  <si>
    <t>SITE-00047</t>
  </si>
  <si>
    <t>PT-51116</t>
  </si>
  <si>
    <t>2026-09-12</t>
  </si>
  <si>
    <t>Dr. Chen</t>
  </si>
  <si>
    <t>AE-00261</t>
  </si>
  <si>
    <t>SITE-00023</t>
  </si>
  <si>
    <t>PT-79178</t>
  </si>
  <si>
    <t>AE-00262</t>
  </si>
  <si>
    <t>SITE-00045</t>
  </si>
  <si>
    <t>PT-94394</t>
  </si>
  <si>
    <t>2026-03-18</t>
  </si>
  <si>
    <t>Dr. Christensen</t>
  </si>
  <si>
    <t>AE-00263</t>
  </si>
  <si>
    <t>PT-95033</t>
  </si>
  <si>
    <t>2025-12-09</t>
  </si>
  <si>
    <t>AE-00264</t>
  </si>
  <si>
    <t>PT-21046</t>
  </si>
  <si>
    <t>2022-10-30</t>
  </si>
  <si>
    <t>Dr. Shannon</t>
  </si>
  <si>
    <t>AE-00265</t>
  </si>
  <si>
    <t>PT-26515</t>
  </si>
  <si>
    <t>2023-04-29</t>
  </si>
  <si>
    <t>Dr. Fitzgerald</t>
  </si>
  <si>
    <t>AE-00266</t>
  </si>
  <si>
    <t>PT-82323</t>
  </si>
  <si>
    <t>2026-03-12</t>
  </si>
  <si>
    <t>AE-00267</t>
  </si>
  <si>
    <t>SITE-00100</t>
  </si>
  <si>
    <t>PT-30975</t>
  </si>
  <si>
    <t>2024-05-22</t>
  </si>
  <si>
    <t>Dr. Singleton</t>
  </si>
  <si>
    <t>AE-00268</t>
  </si>
  <si>
    <t>PT-41632</t>
  </si>
  <si>
    <t>2022-12-08</t>
  </si>
  <si>
    <t>Dr. Walsh</t>
  </si>
  <si>
    <t>AE-00269</t>
  </si>
  <si>
    <t>SITE-00250</t>
  </si>
  <si>
    <t>PT-24475</t>
  </si>
  <si>
    <t>2022-12-17</t>
  </si>
  <si>
    <t>AE-00270</t>
  </si>
  <si>
    <t>SITE-00120</t>
  </si>
  <si>
    <t>PT-92180</t>
  </si>
  <si>
    <t>2024-11-20</t>
  </si>
  <si>
    <t>Dr. Lucero</t>
  </si>
  <si>
    <t>AE-00271</t>
  </si>
  <si>
    <t>SITE-00080</t>
  </si>
  <si>
    <t>PT-16256</t>
  </si>
  <si>
    <t>Dr. Mendez</t>
  </si>
  <si>
    <t>AE-00272</t>
  </si>
  <si>
    <t>PT-85030</t>
  </si>
  <si>
    <t>2022-10-12</t>
  </si>
  <si>
    <t>Dr. Hood</t>
  </si>
  <si>
    <t>AE-00273</t>
  </si>
  <si>
    <t>SITE-00369</t>
  </si>
  <si>
    <t>PT-40945</t>
  </si>
  <si>
    <t>2026-02-07</t>
  </si>
  <si>
    <t>AE-00274</t>
  </si>
  <si>
    <t>PT-49216</t>
  </si>
  <si>
    <t>Dr. Bullock</t>
  </si>
  <si>
    <t>AE-00275</t>
  </si>
  <si>
    <t>SITE-00140</t>
  </si>
  <si>
    <t>PT-59501</t>
  </si>
  <si>
    <t>Dr. Blackburn</t>
  </si>
  <si>
    <t>AE-00276</t>
  </si>
  <si>
    <t>PT-52971</t>
  </si>
  <si>
    <t>2024-10-10</t>
  </si>
  <si>
    <t>Dr. Shepard</t>
  </si>
  <si>
    <t>AE-00277</t>
  </si>
  <si>
    <t>PT-29209</t>
  </si>
  <si>
    <t>Dr. Monroe</t>
  </si>
  <si>
    <t>AE-00278</t>
  </si>
  <si>
    <t>PT-22091</t>
  </si>
  <si>
    <t>2025-05-22</t>
  </si>
  <si>
    <t>AE-00279</t>
  </si>
  <si>
    <t>SITE-00344</t>
  </si>
  <si>
    <t>PT-72423</t>
  </si>
  <si>
    <t>2026-01-04</t>
  </si>
  <si>
    <t>Dr. Mason</t>
  </si>
  <si>
    <t>AE-00280</t>
  </si>
  <si>
    <t>SITE-00298</t>
  </si>
  <si>
    <t>PT-58404</t>
  </si>
  <si>
    <t>2025-08-17</t>
  </si>
  <si>
    <t>AE-00281</t>
  </si>
  <si>
    <t>PT-83265</t>
  </si>
  <si>
    <t>2024-06-26</t>
  </si>
  <si>
    <t>AE-00282</t>
  </si>
  <si>
    <t>SITE-00149</t>
  </si>
  <si>
    <t>PT-93422</t>
  </si>
  <si>
    <t>2023-07-05</t>
  </si>
  <si>
    <t>AE-00283</t>
  </si>
  <si>
    <t>PT-64646</t>
  </si>
  <si>
    <t>2023-05-28</t>
  </si>
  <si>
    <t>Dr. Francis</t>
  </si>
  <si>
    <t>AE-00284</t>
  </si>
  <si>
    <t>PT-69993</t>
  </si>
  <si>
    <t>AE-00285</t>
  </si>
  <si>
    <t>PT-37871</t>
  </si>
  <si>
    <t>2023-10-22</t>
  </si>
  <si>
    <t>AE-00286</t>
  </si>
  <si>
    <t>PT-30557</t>
  </si>
  <si>
    <t>2024-01-29</t>
  </si>
  <si>
    <t>Dr. Carroll</t>
  </si>
  <si>
    <t>AE-00287</t>
  </si>
  <si>
    <t>SITE-00317</t>
  </si>
  <si>
    <t>PT-88852</t>
  </si>
  <si>
    <t>2025-06-30</t>
  </si>
  <si>
    <t>Dr. Knight</t>
  </si>
  <si>
    <t>AE-00288</t>
  </si>
  <si>
    <t>SITE-00116</t>
  </si>
  <si>
    <t>PT-58442</t>
  </si>
  <si>
    <t>AE-00289</t>
  </si>
  <si>
    <t>PT-78521</t>
  </si>
  <si>
    <t>2023-01-28</t>
  </si>
  <si>
    <t>Dr. Blair</t>
  </si>
  <si>
    <t>AE-00290</t>
  </si>
  <si>
    <t>SITE-00227</t>
  </si>
  <si>
    <t>PT-49967</t>
  </si>
  <si>
    <t>2023-06-16</t>
  </si>
  <si>
    <t>Dr. Garza</t>
  </si>
  <si>
    <t>AE-00291</t>
  </si>
  <si>
    <t>SITE-00110</t>
  </si>
  <si>
    <t>PT-73691</t>
  </si>
  <si>
    <t>2026-07-29</t>
  </si>
  <si>
    <t>AE-00292</t>
  </si>
  <si>
    <t>SITE-00204</t>
  </si>
  <si>
    <t>PT-87283</t>
  </si>
  <si>
    <t>Dr. Robinson</t>
  </si>
  <si>
    <t>AE-00293</t>
  </si>
  <si>
    <t>PT-38256</t>
  </si>
  <si>
    <t>2024-03-17</t>
  </si>
  <si>
    <t>AE-00294</t>
  </si>
  <si>
    <t>PT-26033</t>
  </si>
  <si>
    <t>2025-08-10</t>
  </si>
  <si>
    <t>AE-00295</t>
  </si>
  <si>
    <t>PT-15856</t>
  </si>
  <si>
    <t>Dr. May</t>
  </si>
  <si>
    <t>AE-00296</t>
  </si>
  <si>
    <t>PT-50593</t>
  </si>
  <si>
    <t>2026-04-26</t>
  </si>
  <si>
    <t>Dr. Lee</t>
  </si>
  <si>
    <t>AE-00297</t>
  </si>
  <si>
    <t>PT-59454</t>
  </si>
  <si>
    <t>AE-00298</t>
  </si>
  <si>
    <t>SITE-00366</t>
  </si>
  <si>
    <t>PT-76160</t>
  </si>
  <si>
    <t>2022-12-04</t>
  </si>
  <si>
    <t>Dr. Mccarthy</t>
  </si>
  <si>
    <t>AE-00299</t>
  </si>
  <si>
    <t>PT-68861</t>
  </si>
  <si>
    <t>2023-06-04</t>
  </si>
  <si>
    <t>AE-00300</t>
  </si>
  <si>
    <t>PT-97097</t>
  </si>
  <si>
    <t>2023-12-22</t>
  </si>
  <si>
    <t>AE-00301</t>
  </si>
  <si>
    <t>PT-40516</t>
  </si>
  <si>
    <t>Dr. Stephenson</t>
  </si>
  <si>
    <t>AE-00302</t>
  </si>
  <si>
    <t>SITE-00308</t>
  </si>
  <si>
    <t>PT-97876</t>
  </si>
  <si>
    <t>2023-06-03</t>
  </si>
  <si>
    <t>Dr. Phillips</t>
  </si>
  <si>
    <t>AE-00303</t>
  </si>
  <si>
    <t>SITE-00147</t>
  </si>
  <si>
    <t>PT-21603</t>
  </si>
  <si>
    <t>Dr. Baker</t>
  </si>
  <si>
    <t>AE-00304</t>
  </si>
  <si>
    <t>PT-50481</t>
  </si>
  <si>
    <t>Dr. Lane</t>
  </si>
  <si>
    <t>AE-00305</t>
  </si>
  <si>
    <t>PT-21161</t>
  </si>
  <si>
    <t>2024-02-09</t>
  </si>
  <si>
    <t>AE-00306</t>
  </si>
  <si>
    <t>SITE-00265</t>
  </si>
  <si>
    <t>PT-78387</t>
  </si>
  <si>
    <t>Dr. Welch</t>
  </si>
  <si>
    <t>AE-00307</t>
  </si>
  <si>
    <t>SITE-00170</t>
  </si>
  <si>
    <t>PT-12446</t>
  </si>
  <si>
    <t>2026-01-14</t>
  </si>
  <si>
    <t>AE-00308</t>
  </si>
  <si>
    <t>PT-46039</t>
  </si>
  <si>
    <t>2026-01-18</t>
  </si>
  <si>
    <t>Dr. Cruz</t>
  </si>
  <si>
    <t>AE-00309</t>
  </si>
  <si>
    <t>SITE-00213</t>
  </si>
  <si>
    <t>PT-85963</t>
  </si>
  <si>
    <t>AE-00310</t>
  </si>
  <si>
    <t>PT-62664</t>
  </si>
  <si>
    <t>2025-07-09</t>
  </si>
  <si>
    <t>Dr. Reed</t>
  </si>
  <si>
    <t>AE-00311</t>
  </si>
  <si>
    <t>PT-13049</t>
  </si>
  <si>
    <t>2025-12-14</t>
  </si>
  <si>
    <t>Dr. Hogan</t>
  </si>
  <si>
    <t>AE-00312</t>
  </si>
  <si>
    <t>SITE-00255</t>
  </si>
  <si>
    <t>PT-64386</t>
  </si>
  <si>
    <t>2023-07-17</t>
  </si>
  <si>
    <t>Dr. Lyons</t>
  </si>
  <si>
    <t>AE-00313</t>
  </si>
  <si>
    <t>PT-43708</t>
  </si>
  <si>
    <t>Dr. Gallegos</t>
  </si>
  <si>
    <t>AE-00314</t>
  </si>
  <si>
    <t>PT-81012</t>
  </si>
  <si>
    <t>AE-00315</t>
  </si>
  <si>
    <t>SITE-00229</t>
  </si>
  <si>
    <t>PT-21747</t>
  </si>
  <si>
    <t>2025-10-21</t>
  </si>
  <si>
    <t>AE-00316</t>
  </si>
  <si>
    <t>SITE-00049</t>
  </si>
  <si>
    <t>PT-17721</t>
  </si>
  <si>
    <t>2024-07-31</t>
  </si>
  <si>
    <t>AE-00317</t>
  </si>
  <si>
    <t>PT-13561</t>
  </si>
  <si>
    <t>2023-03-05</t>
  </si>
  <si>
    <t>Dr. Barrett</t>
  </si>
  <si>
    <t>AE-00318</t>
  </si>
  <si>
    <t>PT-22942</t>
  </si>
  <si>
    <t>2023-06-17</t>
  </si>
  <si>
    <t>AE-00319</t>
  </si>
  <si>
    <t>PT-43807</t>
  </si>
  <si>
    <t>AE-00320</t>
  </si>
  <si>
    <t>PT-36549</t>
  </si>
  <si>
    <t>2024-03-22</t>
  </si>
  <si>
    <t>AE-00321</t>
  </si>
  <si>
    <t>PT-76666</t>
  </si>
  <si>
    <t>2022-11-06</t>
  </si>
  <si>
    <t>Dr. Haynes</t>
  </si>
  <si>
    <t>AE-00322</t>
  </si>
  <si>
    <t>SITE-00312</t>
  </si>
  <si>
    <t>PT-45296</t>
  </si>
  <si>
    <t>2025-03-25</t>
  </si>
  <si>
    <t>Dr. Booth</t>
  </si>
  <si>
    <t>AE-00323</t>
  </si>
  <si>
    <t>PT-82498</t>
  </si>
  <si>
    <t>2022-09-29</t>
  </si>
  <si>
    <t>AE-00324</t>
  </si>
  <si>
    <t>SITE-00060</t>
  </si>
  <si>
    <t>PT-13788</t>
  </si>
  <si>
    <t>2024-01-19</t>
  </si>
  <si>
    <t>Dr. Wong</t>
  </si>
  <si>
    <t>AE-00325</t>
  </si>
  <si>
    <t>PT-45279</t>
  </si>
  <si>
    <t>2023-02-11</t>
  </si>
  <si>
    <t>Dr. Gentry</t>
  </si>
  <si>
    <t>AE-00326</t>
  </si>
  <si>
    <t>PT-82706</t>
  </si>
  <si>
    <t>2023-12-09</t>
  </si>
  <si>
    <t>AE-00327</t>
  </si>
  <si>
    <t>PT-63313</t>
  </si>
  <si>
    <t>AE-00328</t>
  </si>
  <si>
    <t>PT-75592</t>
  </si>
  <si>
    <t>Dr. Bryant</t>
  </si>
  <si>
    <t>AE-00329</t>
  </si>
  <si>
    <t>PT-80836</t>
  </si>
  <si>
    <t>2025-01-05</t>
  </si>
  <si>
    <t>AE-00330</t>
  </si>
  <si>
    <t>PT-65542</t>
  </si>
  <si>
    <t>2024-04-23</t>
  </si>
  <si>
    <t>Dr. Flowers</t>
  </si>
  <si>
    <t>AE-00331</t>
  </si>
  <si>
    <t>PT-10131</t>
  </si>
  <si>
    <t>2023-09-21</t>
  </si>
  <si>
    <t>Dr. Brooks</t>
  </si>
  <si>
    <t>AE-00332</t>
  </si>
  <si>
    <t>PT-31939</t>
  </si>
  <si>
    <t>2024-01-24</t>
  </si>
  <si>
    <t>Dr. Gregory</t>
  </si>
  <si>
    <t>AE-00333</t>
  </si>
  <si>
    <t>SITE-00343</t>
  </si>
  <si>
    <t>PT-45822</t>
  </si>
  <si>
    <t>2023-11-30</t>
  </si>
  <si>
    <t>Dr. Arellano</t>
  </si>
  <si>
    <t>AE-00334</t>
  </si>
  <si>
    <t>PT-59827</t>
  </si>
  <si>
    <t>Dr. Hines</t>
  </si>
  <si>
    <t>AE-00335</t>
  </si>
  <si>
    <t>SITE-00266</t>
  </si>
  <si>
    <t>PT-76889</t>
  </si>
  <si>
    <t>2026-04-25</t>
  </si>
  <si>
    <t>Dr. Hunter</t>
  </si>
  <si>
    <t>AE-00336</t>
  </si>
  <si>
    <t>PT-80004</t>
  </si>
  <si>
    <t>2024-05-24</t>
  </si>
  <si>
    <t>Dr. Schroeder</t>
  </si>
  <si>
    <t>AE-00337</t>
  </si>
  <si>
    <t>PT-21759</t>
  </si>
  <si>
    <t>2026-07-11</t>
  </si>
  <si>
    <t>Dr. Morales</t>
  </si>
  <si>
    <t>AE-00338</t>
  </si>
  <si>
    <t>SITE-00338</t>
  </si>
  <si>
    <t>PT-82938</t>
  </si>
  <si>
    <t>2022-10-29</t>
  </si>
  <si>
    <t>AE-00339</t>
  </si>
  <si>
    <t>SITE-00340</t>
  </si>
  <si>
    <t>PT-90012</t>
  </si>
  <si>
    <t>2026-05-26</t>
  </si>
  <si>
    <t>Dr. Tanner</t>
  </si>
  <si>
    <t>AE-00340</t>
  </si>
  <si>
    <t>SITE-00158</t>
  </si>
  <si>
    <t>PT-54909</t>
  </si>
  <si>
    <t>2026-07-28</t>
  </si>
  <si>
    <t>Dr. Bender</t>
  </si>
  <si>
    <t>AE-00341</t>
  </si>
  <si>
    <t>SITE-00069</t>
  </si>
  <si>
    <t>PT-42234</t>
  </si>
  <si>
    <t>Dr. Compton</t>
  </si>
  <si>
    <t>AE-00342</t>
  </si>
  <si>
    <t>PT-70266</t>
  </si>
  <si>
    <t>AE-00343</t>
  </si>
  <si>
    <t>SITE-00033</t>
  </si>
  <si>
    <t>PT-27527</t>
  </si>
  <si>
    <t>2024-01-17</t>
  </si>
  <si>
    <t>Dr. Choi</t>
  </si>
  <si>
    <t>AE-00344</t>
  </si>
  <si>
    <t>SITE-00284</t>
  </si>
  <si>
    <t>PT-11255</t>
  </si>
  <si>
    <t>2026-08-04</t>
  </si>
  <si>
    <t>AE-00345</t>
  </si>
  <si>
    <t>PT-74091</t>
  </si>
  <si>
    <t>AE-00346</t>
  </si>
  <si>
    <t>SITE-00263</t>
  </si>
  <si>
    <t>PT-80601</t>
  </si>
  <si>
    <t>AE-00347</t>
  </si>
  <si>
    <t>PT-56267</t>
  </si>
  <si>
    <t>AE-00348</t>
  </si>
  <si>
    <t>SITE-00309</t>
  </si>
  <si>
    <t>PT-33224</t>
  </si>
  <si>
    <t>2026-03-30</t>
  </si>
  <si>
    <t>Dr. Turner</t>
  </si>
  <si>
    <t>AE-00349</t>
  </si>
  <si>
    <t>PT-58559</t>
  </si>
  <si>
    <t>2023-01-13</t>
  </si>
  <si>
    <t>Dr. Young</t>
  </si>
  <si>
    <t>AE-00350</t>
  </si>
  <si>
    <t>SITE-00150</t>
  </si>
  <si>
    <t>PT-39035</t>
  </si>
  <si>
    <t>AE-00351</t>
  </si>
  <si>
    <t>PT-56900</t>
  </si>
  <si>
    <t>Dr. Cohen</t>
  </si>
  <si>
    <t>AE-00352</t>
  </si>
  <si>
    <t>PT-38986</t>
  </si>
  <si>
    <t>AE-00353</t>
  </si>
  <si>
    <t>2024-08-14</t>
  </si>
  <si>
    <t>Dr. Cooper</t>
  </si>
  <si>
    <t>AE-00354</t>
  </si>
  <si>
    <t>SITE-00087</t>
  </si>
  <si>
    <t>PT-35701</t>
  </si>
  <si>
    <t>2024-08-05</t>
  </si>
  <si>
    <t>Dr. Mcdaniel</t>
  </si>
  <si>
    <t>AE-00355</t>
  </si>
  <si>
    <t>PT-74751</t>
  </si>
  <si>
    <t>Dr. Durham</t>
  </si>
  <si>
    <t>AE-00356</t>
  </si>
  <si>
    <t>PT-98103</t>
  </si>
  <si>
    <t>2025-05-20</t>
  </si>
  <si>
    <t>AE-00357</t>
  </si>
  <si>
    <t>SITE-00157</t>
  </si>
  <si>
    <t>PT-87091</t>
  </si>
  <si>
    <t>AE-00358</t>
  </si>
  <si>
    <t>PT-44029</t>
  </si>
  <si>
    <t>2023-02-04</t>
  </si>
  <si>
    <t>AE-00359</t>
  </si>
  <si>
    <t>PT-45956</t>
  </si>
  <si>
    <t>2025-10-06</t>
  </si>
  <si>
    <t>AE-00360</t>
  </si>
  <si>
    <t>PT-90538</t>
  </si>
  <si>
    <t>2025-10-20</t>
  </si>
  <si>
    <t>AE-00361</t>
  </si>
  <si>
    <t>SITE-00365</t>
  </si>
  <si>
    <t>PT-65982</t>
  </si>
  <si>
    <t>2025-12-27</t>
  </si>
  <si>
    <t>Dr. Cross</t>
  </si>
  <si>
    <t>AE-00362</t>
  </si>
  <si>
    <t>PT-63330</t>
  </si>
  <si>
    <t>2024-05-29</t>
  </si>
  <si>
    <t>AE-00363</t>
  </si>
  <si>
    <t>PT-74955</t>
  </si>
  <si>
    <t>2022-12-31</t>
  </si>
  <si>
    <t>Dr. Freeman</t>
  </si>
  <si>
    <t>AE-00364</t>
  </si>
  <si>
    <t>SITE-00210</t>
  </si>
  <si>
    <t>PT-16155</t>
  </si>
  <si>
    <t>2025-09-03</t>
  </si>
  <si>
    <t>Dr. Willis</t>
  </si>
  <si>
    <t>AE-00365</t>
  </si>
  <si>
    <t>PT-68833</t>
  </si>
  <si>
    <t>Dr. Franklin</t>
  </si>
  <si>
    <t>AE-00366</t>
  </si>
  <si>
    <t>PT-35507</t>
  </si>
  <si>
    <t>2025-10-13</t>
  </si>
  <si>
    <t>AE-00367</t>
  </si>
  <si>
    <t>PT-39573</t>
  </si>
  <si>
    <t>2024-01-27</t>
  </si>
  <si>
    <t>AE-00368</t>
  </si>
  <si>
    <t>PT-35805</t>
  </si>
  <si>
    <t>2025-02-25</t>
  </si>
  <si>
    <t>Dr. Walton</t>
  </si>
  <si>
    <t>AE-00369</t>
  </si>
  <si>
    <t>PT-18237</t>
  </si>
  <si>
    <t>Dr. Brewer</t>
  </si>
  <si>
    <t>AE-00370</t>
  </si>
  <si>
    <t>PT-13148</t>
  </si>
  <si>
    <t>Dr. Lopez</t>
  </si>
  <si>
    <t>AE-00371</t>
  </si>
  <si>
    <t>SITE-00358</t>
  </si>
  <si>
    <t>PT-72072</t>
  </si>
  <si>
    <t>2023-07-23</t>
  </si>
  <si>
    <t>AE-00372</t>
  </si>
  <si>
    <t>PT-53724</t>
  </si>
  <si>
    <t>2024-01-26</t>
  </si>
  <si>
    <t>AE-00373</t>
  </si>
  <si>
    <t>PT-88638</t>
  </si>
  <si>
    <t>2024-05-31</t>
  </si>
  <si>
    <t>AE-00374</t>
  </si>
  <si>
    <t>PT-91965</t>
  </si>
  <si>
    <t>2024-04-04</t>
  </si>
  <si>
    <t>Dr. Nicholson</t>
  </si>
  <si>
    <t>AE-00375</t>
  </si>
  <si>
    <t>PT-17954</t>
  </si>
  <si>
    <t>2022-11-07</t>
  </si>
  <si>
    <t>Dr. Mullen</t>
  </si>
  <si>
    <t>AE-00376</t>
  </si>
  <si>
    <t>PT-18523</t>
  </si>
  <si>
    <t>2024-05-25</t>
  </si>
  <si>
    <t>AE-00377</t>
  </si>
  <si>
    <t>PT-17181</t>
  </si>
  <si>
    <t>2025-06-10</t>
  </si>
  <si>
    <t>AE-00378</t>
  </si>
  <si>
    <t>SITE-00027</t>
  </si>
  <si>
    <t>PT-23346</t>
  </si>
  <si>
    <t>AE-00379</t>
  </si>
  <si>
    <t>PT-59998</t>
  </si>
  <si>
    <t>2025-06-15</t>
  </si>
  <si>
    <t>AE-00380</t>
  </si>
  <si>
    <t>PT-63884</t>
  </si>
  <si>
    <t>2026-02-28</t>
  </si>
  <si>
    <t>Dr. Lara</t>
  </si>
  <si>
    <t>AE-00381</t>
  </si>
  <si>
    <t>SITE-00002</t>
  </si>
  <si>
    <t>PT-60321</t>
  </si>
  <si>
    <t>2022-10-05</t>
  </si>
  <si>
    <t>AE-00382</t>
  </si>
  <si>
    <t>PT-91163</t>
  </si>
  <si>
    <t>AE-00383</t>
  </si>
  <si>
    <t>PT-98575</t>
  </si>
  <si>
    <t>2024-07-12</t>
  </si>
  <si>
    <t>Dr. Tucker</t>
  </si>
  <si>
    <t>AE-00384</t>
  </si>
  <si>
    <t>PT-53017</t>
  </si>
  <si>
    <t>AE-00385</t>
  </si>
  <si>
    <t>PT-23459</t>
  </si>
  <si>
    <t>AE-00386</t>
  </si>
  <si>
    <t>SITE-00234</t>
  </si>
  <si>
    <t>PT-35377</t>
  </si>
  <si>
    <t>2023-09-30</t>
  </si>
  <si>
    <t>Dr. Walters</t>
  </si>
  <si>
    <t>AE-00387</t>
  </si>
  <si>
    <t>PT-76702</t>
  </si>
  <si>
    <t>2025-02-15</t>
  </si>
  <si>
    <t>AE-00388</t>
  </si>
  <si>
    <t>PT-73097</t>
  </si>
  <si>
    <t>2024-07-06</t>
  </si>
  <si>
    <t>AE-00389</t>
  </si>
  <si>
    <t>SITE-00276</t>
  </si>
  <si>
    <t>PT-41870</t>
  </si>
  <si>
    <t>Dr. Rogers</t>
  </si>
  <si>
    <t>AE-00390</t>
  </si>
  <si>
    <t>PT-26735</t>
  </si>
  <si>
    <t>2024-11-07</t>
  </si>
  <si>
    <t>Dr. Diaz</t>
  </si>
  <si>
    <t>AE-00391</t>
  </si>
  <si>
    <t>PT-95420</t>
  </si>
  <si>
    <t>2025-11-07</t>
  </si>
  <si>
    <t>Dr. Pollard</t>
  </si>
  <si>
    <t>AE-00392</t>
  </si>
  <si>
    <t>SITE-00336</t>
  </si>
  <si>
    <t>PT-80928</t>
  </si>
  <si>
    <t>2024-11-02</t>
  </si>
  <si>
    <t>Dr. Reyes</t>
  </si>
  <si>
    <t>AE-00393</t>
  </si>
  <si>
    <t>PT-50458</t>
  </si>
  <si>
    <t>2025-05-30</t>
  </si>
  <si>
    <t>AE-00394</t>
  </si>
  <si>
    <t>SITE-00020</t>
  </si>
  <si>
    <t>PT-58343</t>
  </si>
  <si>
    <t>2024-01-23</t>
  </si>
  <si>
    <t>Dr. Villa</t>
  </si>
  <si>
    <t>AE-00395</t>
  </si>
  <si>
    <t>SITE-00354</t>
  </si>
  <si>
    <t>PT-41114</t>
  </si>
  <si>
    <t>2025-01-26</t>
  </si>
  <si>
    <t>AE-00396</t>
  </si>
  <si>
    <t>PT-55064</t>
  </si>
  <si>
    <t>2025-12-17</t>
  </si>
  <si>
    <t>Dr. Luna</t>
  </si>
  <si>
    <t>AE-00397</t>
  </si>
  <si>
    <t>PT-36379</t>
  </si>
  <si>
    <t>2024-07-13</t>
  </si>
  <si>
    <t>AE-00398</t>
  </si>
  <si>
    <t>PT-97537</t>
  </si>
  <si>
    <t>2023-11-03</t>
  </si>
  <si>
    <t>AE-00399</t>
  </si>
  <si>
    <t>PT-53403</t>
  </si>
  <si>
    <t>Dr. Richardson</t>
  </si>
  <si>
    <t>AE-00400</t>
  </si>
  <si>
    <t>PT-49273</t>
  </si>
  <si>
    <t>2026-04-08</t>
  </si>
  <si>
    <t>Dr. Parks</t>
  </si>
  <si>
    <t>AE-00401</t>
  </si>
  <si>
    <t>PT-23742</t>
  </si>
  <si>
    <t>AE-00402</t>
  </si>
  <si>
    <t>PT-38757</t>
  </si>
  <si>
    <t>2023-11-24</t>
  </si>
  <si>
    <t>Dr. Fuentes</t>
  </si>
  <si>
    <t>AE-00403</t>
  </si>
  <si>
    <t>PT-40182</t>
  </si>
  <si>
    <t>2024-11-18</t>
  </si>
  <si>
    <t>AE-00404</t>
  </si>
  <si>
    <t>SITE-00374</t>
  </si>
  <si>
    <t>PT-73012</t>
  </si>
  <si>
    <t>2024-02-21</t>
  </si>
  <si>
    <t>AE-00405</t>
  </si>
  <si>
    <t>PT-62469</t>
  </si>
  <si>
    <t>2024-01-04</t>
  </si>
  <si>
    <t>Dr. Fields</t>
  </si>
  <si>
    <t>AE-00406</t>
  </si>
  <si>
    <t>PT-11296</t>
  </si>
  <si>
    <t>2025-02-03</t>
  </si>
  <si>
    <t>AE-00407</t>
  </si>
  <si>
    <t>SITE-00079</t>
  </si>
  <si>
    <t>PT-82704</t>
  </si>
  <si>
    <t>2022-11-10</t>
  </si>
  <si>
    <t>Dr. Rodgers</t>
  </si>
  <si>
    <t>AE-00408</t>
  </si>
  <si>
    <t>SITE-00103</t>
  </si>
  <si>
    <t>PT-67725</t>
  </si>
  <si>
    <t>2023-09-15</t>
  </si>
  <si>
    <t>AE-00409</t>
  </si>
  <si>
    <t>PT-13890</t>
  </si>
  <si>
    <t>2023-02-03</t>
  </si>
  <si>
    <t>Dr. Acosta</t>
  </si>
  <si>
    <t>AE-00410</t>
  </si>
  <si>
    <t>SITE-00107</t>
  </si>
  <si>
    <t>PT-44340</t>
  </si>
  <si>
    <t>2025-03-30</t>
  </si>
  <si>
    <t>Dr. Jordan</t>
  </si>
  <si>
    <t>AE-00411</t>
  </si>
  <si>
    <t>SITE-00051</t>
  </si>
  <si>
    <t>PT-42239</t>
  </si>
  <si>
    <t>Dr. Bonilla</t>
  </si>
  <si>
    <t>AE-00412</t>
  </si>
  <si>
    <t>PT-33078</t>
  </si>
  <si>
    <t>2025-06-19</t>
  </si>
  <si>
    <t>Dr. Sanchez</t>
  </si>
  <si>
    <t>AE-00413</t>
  </si>
  <si>
    <t>SITE-00246</t>
  </si>
  <si>
    <t>PT-27988</t>
  </si>
  <si>
    <t>2026-01-05</t>
  </si>
  <si>
    <t>Dr. Conley</t>
  </si>
  <si>
    <t>AE-00414</t>
  </si>
  <si>
    <t>PT-37556</t>
  </si>
  <si>
    <t>2025-08-22</t>
  </si>
  <si>
    <t>AE-00415</t>
  </si>
  <si>
    <t>AE-00416</t>
  </si>
  <si>
    <t>PT-91684</t>
  </si>
  <si>
    <t>AE-00417</t>
  </si>
  <si>
    <t>PT-27143</t>
  </si>
  <si>
    <t>AE-00418</t>
  </si>
  <si>
    <t>SITE-00055</t>
  </si>
  <si>
    <t>PT-59570</t>
  </si>
  <si>
    <t>2026-03-28</t>
  </si>
  <si>
    <t>AE-00419</t>
  </si>
  <si>
    <t>PT-66300</t>
  </si>
  <si>
    <t>2026-08-19</t>
  </si>
  <si>
    <t>AE-00420</t>
  </si>
  <si>
    <t>PT-86981</t>
  </si>
  <si>
    <t>2026-06-03</t>
  </si>
  <si>
    <t>AE-00421</t>
  </si>
  <si>
    <t>PT-16980</t>
  </si>
  <si>
    <t>2024-05-26</t>
  </si>
  <si>
    <t>AE-00422</t>
  </si>
  <si>
    <t>PT-86556</t>
  </si>
  <si>
    <t>2026-07-06</t>
  </si>
  <si>
    <t>AE-00423</t>
  </si>
  <si>
    <t>PT-20670</t>
  </si>
  <si>
    <t>2025-04-28</t>
  </si>
  <si>
    <t>Dr. Andrade</t>
  </si>
  <si>
    <t>AE-00424</t>
  </si>
  <si>
    <t>SITE-00247</t>
  </si>
  <si>
    <t>PT-76665</t>
  </si>
  <si>
    <t>2026-01-21</t>
  </si>
  <si>
    <t>Dr. Hamilton</t>
  </si>
  <si>
    <t>AE-00425</t>
  </si>
  <si>
    <t>PT-78012</t>
  </si>
  <si>
    <t>2023-03-06</t>
  </si>
  <si>
    <t>AE-00426</t>
  </si>
  <si>
    <t>SITE-00290</t>
  </si>
  <si>
    <t>PT-59005</t>
  </si>
  <si>
    <t>2023-10-04</t>
  </si>
  <si>
    <t>AE-00427</t>
  </si>
  <si>
    <t>PT-72096</t>
  </si>
  <si>
    <t>2024-10-07</t>
  </si>
  <si>
    <t>Dr. Dickerson</t>
  </si>
  <si>
    <t>AE-00428</t>
  </si>
  <si>
    <t>PT-95162</t>
  </si>
  <si>
    <t>2023-09-08</t>
  </si>
  <si>
    <t>Dr. Lindsey</t>
  </si>
  <si>
    <t>AE-00429</t>
  </si>
  <si>
    <t>PT-36607</t>
  </si>
  <si>
    <t>Dr. Kennedy</t>
  </si>
  <si>
    <t>AE-00430</t>
  </si>
  <si>
    <t>PT-38651</t>
  </si>
  <si>
    <t>2025-10-02</t>
  </si>
  <si>
    <t>Dr. Kim</t>
  </si>
  <si>
    <t>AE-00431</t>
  </si>
  <si>
    <t>PT-84890</t>
  </si>
  <si>
    <t>2025-09-12</t>
  </si>
  <si>
    <t>Dr. Osborne</t>
  </si>
  <si>
    <t>AE-00432</t>
  </si>
  <si>
    <t>PT-82161</t>
  </si>
  <si>
    <t>Dr. Powers</t>
  </si>
  <si>
    <t>AE-00433</t>
  </si>
  <si>
    <t>PT-48672</t>
  </si>
  <si>
    <t>2025-02-16</t>
  </si>
  <si>
    <t>Dr. Browning</t>
  </si>
  <si>
    <t>AE-00434</t>
  </si>
  <si>
    <t>SITE-00137</t>
  </si>
  <si>
    <t>2025-06-04</t>
  </si>
  <si>
    <t>Dr. Nelson</t>
  </si>
  <si>
    <t>AE-00435</t>
  </si>
  <si>
    <t>SITE-00010</t>
  </si>
  <si>
    <t>PT-91412</t>
  </si>
  <si>
    <t>2024-05-04</t>
  </si>
  <si>
    <t>AE-00436</t>
  </si>
  <si>
    <t>SITE-00077</t>
  </si>
  <si>
    <t>PT-63602</t>
  </si>
  <si>
    <t>2024-05-14</t>
  </si>
  <si>
    <t>AE-00437</t>
  </si>
  <si>
    <t>PT-45785</t>
  </si>
  <si>
    <t>2023-10-12</t>
  </si>
  <si>
    <t>Dr. George</t>
  </si>
  <si>
    <t>AE-00438</t>
  </si>
  <si>
    <t>PT-67892</t>
  </si>
  <si>
    <t>AE-00439</t>
  </si>
  <si>
    <t>SITE-00092</t>
  </si>
  <si>
    <t>PT-19946</t>
  </si>
  <si>
    <t>AE-00440</t>
  </si>
  <si>
    <t>SITE-00310</t>
  </si>
  <si>
    <t>PT-75767</t>
  </si>
  <si>
    <t>AE-00441</t>
  </si>
  <si>
    <t>PT-39850</t>
  </si>
  <si>
    <t>2023-11-12</t>
  </si>
  <si>
    <t>Dr. Joseph</t>
  </si>
  <si>
    <t>AE-00442</t>
  </si>
  <si>
    <t>SITE-00363</t>
  </si>
  <si>
    <t>PT-57216</t>
  </si>
  <si>
    <t>AE-00443</t>
  </si>
  <si>
    <t>PT-35774</t>
  </si>
  <si>
    <t>AE-00444</t>
  </si>
  <si>
    <t>SITE-00054</t>
  </si>
  <si>
    <t>PT-99592</t>
  </si>
  <si>
    <t>2024-04-07</t>
  </si>
  <si>
    <t>Dr. Spears</t>
  </si>
  <si>
    <t>AE-00445</t>
  </si>
  <si>
    <t>PT-89171</t>
  </si>
  <si>
    <t>2022-10-06</t>
  </si>
  <si>
    <t>AE-00446</t>
  </si>
  <si>
    <t>PT-49252</t>
  </si>
  <si>
    <t>2024-02-05</t>
  </si>
  <si>
    <t>Dr. Wallace</t>
  </si>
  <si>
    <t>AE-00447</t>
  </si>
  <si>
    <t>PT-63183</t>
  </si>
  <si>
    <t>2024-07-23</t>
  </si>
  <si>
    <t>AE-00448</t>
  </si>
  <si>
    <t>SITE-00067</t>
  </si>
  <si>
    <t>PT-95733</t>
  </si>
  <si>
    <t>Dr. Wolfe</t>
  </si>
  <si>
    <t>AE-00449</t>
  </si>
  <si>
    <t>PT-39829</t>
  </si>
  <si>
    <t>AE-00450</t>
  </si>
  <si>
    <t>PT-40634</t>
  </si>
  <si>
    <t>2022-11-04</t>
  </si>
  <si>
    <t>Dr. Phelps</t>
  </si>
  <si>
    <t>AE-00451</t>
  </si>
  <si>
    <t>PT-70476</t>
  </si>
  <si>
    <t>2026-07-31</t>
  </si>
  <si>
    <t>AE-00452</t>
  </si>
  <si>
    <t>PT-34621</t>
  </si>
  <si>
    <t>AE-00453</t>
  </si>
  <si>
    <t>PT-67498</t>
  </si>
  <si>
    <t>2023-07-18</t>
  </si>
  <si>
    <t>Dr. Mercer</t>
  </si>
  <si>
    <t>AE-00454</t>
  </si>
  <si>
    <t>PT-28212</t>
  </si>
  <si>
    <t>2024-03-10</t>
  </si>
  <si>
    <t>AE-00455</t>
  </si>
  <si>
    <t>PT-11268</t>
  </si>
  <si>
    <t>Dr. Craig</t>
  </si>
  <si>
    <t>AE-00456</t>
  </si>
  <si>
    <t>SITE-00015</t>
  </si>
  <si>
    <t>PT-39555</t>
  </si>
  <si>
    <t>AE-00457</t>
  </si>
  <si>
    <t>PT-62870</t>
  </si>
  <si>
    <t>AE-00458</t>
  </si>
  <si>
    <t>PT-86933</t>
  </si>
  <si>
    <t>2024-06-09</t>
  </si>
  <si>
    <t>Dr. Forbes</t>
  </si>
  <si>
    <t>AE-00459</t>
  </si>
  <si>
    <t>PT-30144</t>
  </si>
  <si>
    <t>2022-10-22</t>
  </si>
  <si>
    <t>Dr. Mcpherson</t>
  </si>
  <si>
    <t>AE-00460</t>
  </si>
  <si>
    <t>PT-36765</t>
  </si>
  <si>
    <t>2024-12-08</t>
  </si>
  <si>
    <t>AE-00461</t>
  </si>
  <si>
    <t>PT-60650</t>
  </si>
  <si>
    <t>Dr. Morse</t>
  </si>
  <si>
    <t>AE-00462</t>
  </si>
  <si>
    <t>SITE-00278</t>
  </si>
  <si>
    <t>PT-53101</t>
  </si>
  <si>
    <t>2023-03-29</t>
  </si>
  <si>
    <t>Dr. Lawson</t>
  </si>
  <si>
    <t>AE-00463</t>
  </si>
  <si>
    <t>PT-49930</t>
  </si>
  <si>
    <t>2026-02-09</t>
  </si>
  <si>
    <t>AE-00464</t>
  </si>
  <si>
    <t>PT-98458</t>
  </si>
  <si>
    <t>2023-08-02</t>
  </si>
  <si>
    <t>Dr. Gay</t>
  </si>
  <si>
    <t>AE-00465</t>
  </si>
  <si>
    <t>PT-89084</t>
  </si>
  <si>
    <t>AE-00466</t>
  </si>
  <si>
    <t>PT-36083</t>
  </si>
  <si>
    <t>2023-05-08</t>
  </si>
  <si>
    <t>Dr. Waters</t>
  </si>
  <si>
    <t>AE-00467</t>
  </si>
  <si>
    <t>SITE-00159</t>
  </si>
  <si>
    <t>PT-36986</t>
  </si>
  <si>
    <t>AE-00468</t>
  </si>
  <si>
    <t>SITE-00166</t>
  </si>
  <si>
    <t>PT-78733</t>
  </si>
  <si>
    <t>Dr. Potter</t>
  </si>
  <si>
    <t>AE-00469</t>
  </si>
  <si>
    <t>SITE-00082</t>
  </si>
  <si>
    <t>PT-11447</t>
  </si>
  <si>
    <t>Dr. Greene</t>
  </si>
  <si>
    <t>AE-00470</t>
  </si>
  <si>
    <t>PT-61262</t>
  </si>
  <si>
    <t>2023-12-28</t>
  </si>
  <si>
    <t>AE-00471</t>
  </si>
  <si>
    <t>SITE-00057</t>
  </si>
  <si>
    <t>PT-80313</t>
  </si>
  <si>
    <t>2023-02-19</t>
  </si>
  <si>
    <t>Dr. Dyer</t>
  </si>
  <si>
    <t>AE-00472</t>
  </si>
  <si>
    <t>PT-19012</t>
  </si>
  <si>
    <t>Dr. Gill</t>
  </si>
  <si>
    <t>AE-00473</t>
  </si>
  <si>
    <t>PT-36958</t>
  </si>
  <si>
    <t>Dr. Nichols</t>
  </si>
  <si>
    <t>AE-00474</t>
  </si>
  <si>
    <t>PT-97135</t>
  </si>
  <si>
    <t>Dr. Trevino</t>
  </si>
  <si>
    <t>AE-00475</t>
  </si>
  <si>
    <t>PT-85378</t>
  </si>
  <si>
    <t>2024-09-09</t>
  </si>
  <si>
    <t>Dr. Marshall</t>
  </si>
  <si>
    <t>AE-00476</t>
  </si>
  <si>
    <t>SITE-00260</t>
  </si>
  <si>
    <t>PT-99762</t>
  </si>
  <si>
    <t>2026-01-06</t>
  </si>
  <si>
    <t>AE-00477</t>
  </si>
  <si>
    <t>PT-10975</t>
  </si>
  <si>
    <t>2026-05-28</t>
  </si>
  <si>
    <t>Dr. Thompson</t>
  </si>
  <si>
    <t>AE-00478</t>
  </si>
  <si>
    <t>PT-62328</t>
  </si>
  <si>
    <t>Dr. Patel</t>
  </si>
  <si>
    <t>AE-00479</t>
  </si>
  <si>
    <t>SITE-00059</t>
  </si>
  <si>
    <t>PT-53108</t>
  </si>
  <si>
    <t>2024-01-18</t>
  </si>
  <si>
    <t>AE-00480</t>
  </si>
  <si>
    <t>PT-70646</t>
  </si>
  <si>
    <t>2023-05-27</t>
  </si>
  <si>
    <t>Dr. Solomon</t>
  </si>
  <si>
    <t>AE-00481</t>
  </si>
  <si>
    <t>PT-21941</t>
  </si>
  <si>
    <t>2024-03-30</t>
  </si>
  <si>
    <t>Dr. Delgado</t>
  </si>
  <si>
    <t>AE-00482</t>
  </si>
  <si>
    <t>PT-48987</t>
  </si>
  <si>
    <t>2026-08-10</t>
  </si>
  <si>
    <t>AE-00483</t>
  </si>
  <si>
    <t>SITE-00114</t>
  </si>
  <si>
    <t>PT-42654</t>
  </si>
  <si>
    <t>2025-04-04</t>
  </si>
  <si>
    <t>Dr. Montgomery</t>
  </si>
  <si>
    <t>AE-00484</t>
  </si>
  <si>
    <t>PT-60418</t>
  </si>
  <si>
    <t>2023-04-08</t>
  </si>
  <si>
    <t>Dr. Harvey</t>
  </si>
  <si>
    <t>AE-00485</t>
  </si>
  <si>
    <t>PT-15723</t>
  </si>
  <si>
    <t>2026-09-15</t>
  </si>
  <si>
    <t>AE-00486</t>
  </si>
  <si>
    <t>PT-92324</t>
  </si>
  <si>
    <t>2025-08-21</t>
  </si>
  <si>
    <t>Dr. Dougherty</t>
  </si>
  <si>
    <t>AE-00487</t>
  </si>
  <si>
    <t>PT-18748</t>
  </si>
  <si>
    <t>2024-01-05</t>
  </si>
  <si>
    <t>AE-00488</t>
  </si>
  <si>
    <t>PT-82459</t>
  </si>
  <si>
    <t>2024-12-27</t>
  </si>
  <si>
    <t>AE-00489</t>
  </si>
  <si>
    <t>PT-23791</t>
  </si>
  <si>
    <t>AE-00490</t>
  </si>
  <si>
    <t>SITE-00105</t>
  </si>
  <si>
    <t>PT-69105</t>
  </si>
  <si>
    <t>2025-09-06</t>
  </si>
  <si>
    <t>AE-00491</t>
  </si>
  <si>
    <t>PT-76330</t>
  </si>
  <si>
    <t>2025-04-30</t>
  </si>
  <si>
    <t>Dr. Arnold</t>
  </si>
  <si>
    <t>AE-00492</t>
  </si>
  <si>
    <t>PT-19593</t>
  </si>
  <si>
    <t>Dr. Jefferson</t>
  </si>
  <si>
    <t>AE-00493</t>
  </si>
  <si>
    <t>PT-62342</t>
  </si>
  <si>
    <t>2023-05-11</t>
  </si>
  <si>
    <t>AE-00494</t>
  </si>
  <si>
    <t>PT-11407</t>
  </si>
  <si>
    <t>AE-00495</t>
  </si>
  <si>
    <t>PT-27888</t>
  </si>
  <si>
    <t>2026-06-17</t>
  </si>
  <si>
    <t>AE-00496</t>
  </si>
  <si>
    <t>SITE-00006</t>
  </si>
  <si>
    <t>PT-70470</t>
  </si>
  <si>
    <t>2024-01-02</t>
  </si>
  <si>
    <t>AE-00497</t>
  </si>
  <si>
    <t>PT-96117</t>
  </si>
  <si>
    <t>2026-04-15</t>
  </si>
  <si>
    <t>AE-00498</t>
  </si>
  <si>
    <t>PT-46587</t>
  </si>
  <si>
    <t>2024-07-22</t>
  </si>
  <si>
    <t>AE-00499</t>
  </si>
  <si>
    <t>PT-89559</t>
  </si>
  <si>
    <t>2025-02-14</t>
  </si>
  <si>
    <t>Dr. Fritz</t>
  </si>
  <si>
    <t>AE-00500</t>
  </si>
  <si>
    <t>PT-26272</t>
  </si>
  <si>
    <t>Dr. Kaufman</t>
  </si>
  <si>
    <t>site_name</t>
  </si>
  <si>
    <t>country</t>
  </si>
  <si>
    <t>principal_investigator</t>
  </si>
  <si>
    <t>enrollment_count</t>
  </si>
  <si>
    <t>site_status</t>
  </si>
  <si>
    <t>South Jessicaview Medical Center</t>
  </si>
  <si>
    <t>Pending Activation</t>
  </si>
  <si>
    <t>Lake Mary Community Health Network</t>
  </si>
  <si>
    <t>Closed</t>
  </si>
  <si>
    <t>Port Emilyview Regional Cancer Center</t>
  </si>
  <si>
    <t>Active</t>
  </si>
  <si>
    <t>South April University Hospital</t>
  </si>
  <si>
    <t>Dr. Ramos</t>
  </si>
  <si>
    <t>Howardshire University Hospital</t>
  </si>
  <si>
    <t>Costafort Medical Center</t>
  </si>
  <si>
    <t>Dr. Bailey</t>
  </si>
  <si>
    <t>Manuelville Community Health Network</t>
  </si>
  <si>
    <t>Dr. Hodge</t>
  </si>
  <si>
    <t>Robertfort Medical Center</t>
  </si>
  <si>
    <t>Dr. Roberts</t>
  </si>
  <si>
    <t>Cervantesside Regional Cancer Center</t>
  </si>
  <si>
    <t>West Johnnyville Regional Cancer Center</t>
  </si>
  <si>
    <t>Dr. Cordova</t>
  </si>
  <si>
    <t>Hancocktown Clinical Research Institute</t>
  </si>
  <si>
    <t>SITE-00012</t>
  </si>
  <si>
    <t>Gutierrezborough University Hospital</t>
  </si>
  <si>
    <t>SITE-00013</t>
  </si>
  <si>
    <t>Garrettton University Hospital</t>
  </si>
  <si>
    <t>West Samuel Community Health Network</t>
  </si>
  <si>
    <t>North Teresabury Regional Cancer Center</t>
  </si>
  <si>
    <t>Dr. Mckinney</t>
  </si>
  <si>
    <t>Andreaside Medical Center</t>
  </si>
  <si>
    <t>Port Robin Clinical Research Institute</t>
  </si>
  <si>
    <t>Dr. Murray</t>
  </si>
  <si>
    <t>Lake Marilynfort University Hospital</t>
  </si>
  <si>
    <t>Dr. Cantu</t>
  </si>
  <si>
    <t>SITE-00019</t>
  </si>
  <si>
    <t>Williamview Regional Cancer Center</t>
  </si>
  <si>
    <t>Bairdbury Regional Cancer Center</t>
  </si>
  <si>
    <t>SITE-00021</t>
  </si>
  <si>
    <t>South James Clinical Research Institute</t>
  </si>
  <si>
    <t>Port Chad University Hospital</t>
  </si>
  <si>
    <t>Morganhaven Medical Center</t>
  </si>
  <si>
    <t>West Jessicashire Regional Cancer Center</t>
  </si>
  <si>
    <t>Dr. Carpenter</t>
  </si>
  <si>
    <t>SITE-00025</t>
  </si>
  <si>
    <t>Grimesmouth Community Health Network</t>
  </si>
  <si>
    <t>Dr. Ryan</t>
  </si>
  <si>
    <t>SITE-00026</t>
  </si>
  <si>
    <t>Martinside Regional Cancer Center</t>
  </si>
  <si>
    <t>Mollybury Medical Center</t>
  </si>
  <si>
    <t>Port Kimberly University Hospital</t>
  </si>
  <si>
    <t>SITE-00029</t>
  </si>
  <si>
    <t>Thorntonfurt University Hospital</t>
  </si>
  <si>
    <t>Dr. Hughes</t>
  </si>
  <si>
    <t>South Tammie Medical Center</t>
  </si>
  <si>
    <t>SITE-00031</t>
  </si>
  <si>
    <t>Mollymouth Community Health Network</t>
  </si>
  <si>
    <t>SITE-00032</t>
  </si>
  <si>
    <t>Smithberg Medical Center</t>
  </si>
  <si>
    <t>North Terrance University Hospital</t>
  </si>
  <si>
    <t>Dr. Costa</t>
  </si>
  <si>
    <t>Cindyfurt Clinical Research Institute</t>
  </si>
  <si>
    <t>Dr. Santos</t>
  </si>
  <si>
    <t>Melissaside Medical Center</t>
  </si>
  <si>
    <t>SITE-00036</t>
  </si>
  <si>
    <t>Courtneyfort Clinical Research Institute</t>
  </si>
  <si>
    <t>Dr. Brennan</t>
  </si>
  <si>
    <t>SITE-00037</t>
  </si>
  <si>
    <t>New Caseyport Clinical Research Institute</t>
  </si>
  <si>
    <t>Dr. Bright</t>
  </si>
  <si>
    <t>SITE-00038</t>
  </si>
  <si>
    <t>South Tiffanyville Clinical Research Institute</t>
  </si>
  <si>
    <t>SITE-00039</t>
  </si>
  <si>
    <t>Rebeccaton Community Health Network</t>
  </si>
  <si>
    <t>West Michaelchester Medical Center</t>
  </si>
  <si>
    <t>SITE-00041</t>
  </si>
  <si>
    <t>Knightburgh Regional Cancer Center</t>
  </si>
  <si>
    <t>New Monicabury Regional Cancer Center</t>
  </si>
  <si>
    <t>Dr. Jimenez</t>
  </si>
  <si>
    <t>East Steven Community Health Network</t>
  </si>
  <si>
    <t>Elizabethmouth University Hospital</t>
  </si>
  <si>
    <t>Dr. Santana</t>
  </si>
  <si>
    <t>North Scott Regional Cancer Center</t>
  </si>
  <si>
    <t>SITE-00046</t>
  </si>
  <si>
    <t>Daniellechester University Hospital</t>
  </si>
  <si>
    <t>Bruceborough University Hospital</t>
  </si>
  <si>
    <t>Dr. Kidd</t>
  </si>
  <si>
    <t>Rodriguezfurt University Hospital</t>
  </si>
  <si>
    <t>Victoriaport Medical Center</t>
  </si>
  <si>
    <t>Hillshire Medical Center</t>
  </si>
  <si>
    <t>Dr. Grimes</t>
  </si>
  <si>
    <t>New Julieport Regional Cancer Center</t>
  </si>
  <si>
    <t>Dr. Parsons</t>
  </si>
  <si>
    <t>New Laurie Community Health Network</t>
  </si>
  <si>
    <t>SITE-00053</t>
  </si>
  <si>
    <t>New John Community Health Network</t>
  </si>
  <si>
    <t>Dr. Campos</t>
  </si>
  <si>
    <t>Lake Colton Community Health Network</t>
  </si>
  <si>
    <t>Dr. Burton</t>
  </si>
  <si>
    <t>West Kristinaton Clinical Research Institute</t>
  </si>
  <si>
    <t>Dr. Riley</t>
  </si>
  <si>
    <t>North Renee University Hospital</t>
  </si>
  <si>
    <t>Thompsonberg Clinical Research Institute</t>
  </si>
  <si>
    <t>Dr. Buchanan</t>
  </si>
  <si>
    <t>Alyssaview Regional Cancer Center</t>
  </si>
  <si>
    <t>Dr. Rivas</t>
  </si>
  <si>
    <t>Robinfort Community Health Network</t>
  </si>
  <si>
    <t>Dr. Coffey</t>
  </si>
  <si>
    <t>Juliemouth University Hospital</t>
  </si>
  <si>
    <t>Dr. Brock</t>
  </si>
  <si>
    <t>Mccartyberg Regional Cancer Center</t>
  </si>
  <si>
    <t>Dr. Webster</t>
  </si>
  <si>
    <t>Port Erica Community Health Network</t>
  </si>
  <si>
    <t>Coffeyside University Hospital</t>
  </si>
  <si>
    <t>SITE-00064</t>
  </si>
  <si>
    <t>Smithside Medical Center</t>
  </si>
  <si>
    <t>Emilyview Regional Cancer Center</t>
  </si>
  <si>
    <t>SITE-00066</t>
  </si>
  <si>
    <t>Danielbury Community Health Network</t>
  </si>
  <si>
    <t>Dr. Ruiz</t>
  </si>
  <si>
    <t>Rosebury Medical Center</t>
  </si>
  <si>
    <t>Dr. Holland</t>
  </si>
  <si>
    <t>Blankenshipport Clinical Research Institute</t>
  </si>
  <si>
    <t>East Brandonton Regional Cancer Center</t>
  </si>
  <si>
    <t>Dr. Torres</t>
  </si>
  <si>
    <t>SITE-00070</t>
  </si>
  <si>
    <t>Wilsonbury Medical Center</t>
  </si>
  <si>
    <t>Dr. Clay</t>
  </si>
  <si>
    <t>SITE-00071</t>
  </si>
  <si>
    <t>South Shawn Regional Cancer Center</t>
  </si>
  <si>
    <t>Dr. Santiago</t>
  </si>
  <si>
    <t>Matthewsberg Community Health Network</t>
  </si>
  <si>
    <t>Port Tracychester Regional Cancer Center</t>
  </si>
  <si>
    <t>Dr. Crosby</t>
  </si>
  <si>
    <t>SITE-00074</t>
  </si>
  <si>
    <t>Antoniostad Medical Center</t>
  </si>
  <si>
    <t>Sampsonstad Clinical Research Institute</t>
  </si>
  <si>
    <t>Amystad Clinical Research Institute</t>
  </si>
  <si>
    <t>Jamesville Medical Center</t>
  </si>
  <si>
    <t>Dr. Rush</t>
  </si>
  <si>
    <t>Davisborough Community Health Network</t>
  </si>
  <si>
    <t>North Kristinbury Medical Center</t>
  </si>
  <si>
    <t>Dr. Zhang</t>
  </si>
  <si>
    <t>North Maria Clinical Research Institute</t>
  </si>
  <si>
    <t>SITE-00081</t>
  </si>
  <si>
    <t>Port Molly Clinical Research Institute</t>
  </si>
  <si>
    <t>Port Rachel Community Health Network</t>
  </si>
  <si>
    <t>SITE-00083</t>
  </si>
  <si>
    <t>East Amber Regional Cancer Center</t>
  </si>
  <si>
    <t>Lake Michelleberg Clinical Research Institute</t>
  </si>
  <si>
    <t>SITE-00085</t>
  </si>
  <si>
    <t>New Mario University Hospital</t>
  </si>
  <si>
    <t>East Judyhaven Community Health Network</t>
  </si>
  <si>
    <t>South Shanestad Clinical Research Institute</t>
  </si>
  <si>
    <t>Dr. Palmer</t>
  </si>
  <si>
    <t>South Williamton Community Health Network</t>
  </si>
  <si>
    <t>Stephentown University Hospital</t>
  </si>
  <si>
    <t>SITE-00090</t>
  </si>
  <si>
    <t>Boonechester Community Health Network</t>
  </si>
  <si>
    <t>Josephmouth Community Health Network</t>
  </si>
  <si>
    <t>West Charleneland Medical Center</t>
  </si>
  <si>
    <t>Oscarhaven Medical Center</t>
  </si>
  <si>
    <t>Garciaville University Hospital</t>
  </si>
  <si>
    <t>Dr. Farrell</t>
  </si>
  <si>
    <t>South Shannon University Hospital</t>
  </si>
  <si>
    <t>SITE-00096</t>
  </si>
  <si>
    <t>Mariafurt Clinical Research Institute</t>
  </si>
  <si>
    <t>SITE-00097</t>
  </si>
  <si>
    <t>West Ronaldview Clinical Research Institute</t>
  </si>
  <si>
    <t>Lake Sandra Regional Cancer Center</t>
  </si>
  <si>
    <t>North Ryanstad University Hospital</t>
  </si>
  <si>
    <t>Dr. Cain</t>
  </si>
  <si>
    <t>New Sueside Medical Center</t>
  </si>
  <si>
    <t>SITE-00101</t>
  </si>
  <si>
    <t>South Michaelchester Medical Center</t>
  </si>
  <si>
    <t>Dr. Parrish</t>
  </si>
  <si>
    <t>SITE-00102</t>
  </si>
  <si>
    <t>West Carolinestad University Hospital</t>
  </si>
  <si>
    <t>East Diane Medical Center</t>
  </si>
  <si>
    <t>SITE-00104</t>
  </si>
  <si>
    <t>West Meganstad Clinical Research Institute</t>
  </si>
  <si>
    <t>Audreychester Community Health Network</t>
  </si>
  <si>
    <t>Dr. Bruce</t>
  </si>
  <si>
    <t>SITE-00106</t>
  </si>
  <si>
    <t>New Sarahview Medical Center</t>
  </si>
  <si>
    <t>Jacquelineport Clinical Research Institute</t>
  </si>
  <si>
    <t>Adamberg Community Health Network</t>
  </si>
  <si>
    <t>Jonestown Medical Center</t>
  </si>
  <si>
    <t>South Robert Medical Center</t>
  </si>
  <si>
    <t>SITE-00111</t>
  </si>
  <si>
    <t>Larrymouth Regional Cancer Center</t>
  </si>
  <si>
    <t>North Ericton Medical Center</t>
  </si>
  <si>
    <t>SITE-00113</t>
  </si>
  <si>
    <t>Scottchester Community Health Network</t>
  </si>
  <si>
    <t>Perryborough Community Health Network</t>
  </si>
  <si>
    <t>SITE-00115</t>
  </si>
  <si>
    <t>West Russellport Clinical Research Institute</t>
  </si>
  <si>
    <t>Roseport Medical Center</t>
  </si>
  <si>
    <t>Joyceton Clinical Research Institute</t>
  </si>
  <si>
    <t>Sierraberg Medical Center</t>
  </si>
  <si>
    <t>Dr. Duran</t>
  </si>
  <si>
    <t>Marktown Medical Center</t>
  </si>
  <si>
    <t>Thompsonfurt Community Health Network</t>
  </si>
  <si>
    <t>New Angelica Regional Cancer Center</t>
  </si>
  <si>
    <t>Charleston Regional Cancer Center</t>
  </si>
  <si>
    <t>SITE-00123</t>
  </si>
  <si>
    <t>Morsemouth Medical Center</t>
  </si>
  <si>
    <t>Mckinneychester University Hospital</t>
  </si>
  <si>
    <t>SITE-00125</t>
  </si>
  <si>
    <t>Smithmouth Medical Center</t>
  </si>
  <si>
    <t>Collierstad University Hospital</t>
  </si>
  <si>
    <t>SITE-00127</t>
  </si>
  <si>
    <t>East Ryanfurt University Hospital</t>
  </si>
  <si>
    <t>Dr. Warren</t>
  </si>
  <si>
    <t>Harrellmouth Clinical Research Institute</t>
  </si>
  <si>
    <t>SITE-00129</t>
  </si>
  <si>
    <t>North William Regional Cancer Center</t>
  </si>
  <si>
    <t>Port Michael Medical Center</t>
  </si>
  <si>
    <t>SITE-00131</t>
  </si>
  <si>
    <t>East Curtis Clinical Research Institute</t>
  </si>
  <si>
    <t>SITE-00132</t>
  </si>
  <si>
    <t>New Eric Medical Center</t>
  </si>
  <si>
    <t>Dr. Malone</t>
  </si>
  <si>
    <t>East Stephaniefort Community Health Network</t>
  </si>
  <si>
    <t>SITE-00134</t>
  </si>
  <si>
    <t>Maldonadoshire University Hospital</t>
  </si>
  <si>
    <t>Michellemouth Clinical Research Institute</t>
  </si>
  <si>
    <t>South Scottport Medical Center</t>
  </si>
  <si>
    <t>West Williamport Medical Center</t>
  </si>
  <si>
    <t>SITE-00138</t>
  </si>
  <si>
    <t>North Miguelport Regional Cancer Center</t>
  </si>
  <si>
    <t>New Brookefurt Clinical Research Institute</t>
  </si>
  <si>
    <t>Dr. Ford</t>
  </si>
  <si>
    <t>South Reginashire Regional Cancer Center</t>
  </si>
  <si>
    <t>Dr. Pearson</t>
  </si>
  <si>
    <t>Cassidyhaven University Hospital</t>
  </si>
  <si>
    <t>South Dalemouth Medical Center</t>
  </si>
  <si>
    <t>Dr. Haas</t>
  </si>
  <si>
    <t>New Debbieton Clinical Research Institute</t>
  </si>
  <si>
    <t>SITE-00144</t>
  </si>
  <si>
    <t>Ritterhaven University Hospital</t>
  </si>
  <si>
    <t>West Nathan University Hospital</t>
  </si>
  <si>
    <t>Dr. Campbell</t>
  </si>
  <si>
    <t>SITE-00146</t>
  </si>
  <si>
    <t>Schroederton Community Health Network</t>
  </si>
  <si>
    <t>Dr. Mccormick</t>
  </si>
  <si>
    <t>Cameronville Regional Cancer Center</t>
  </si>
  <si>
    <t>Dr. Grant</t>
  </si>
  <si>
    <t>Mitchellberg Medical Center</t>
  </si>
  <si>
    <t>Dr. Cook</t>
  </si>
  <si>
    <t>West Kyle Regional Cancer Center</t>
  </si>
  <si>
    <t>Andersonland Medical Center</t>
  </si>
  <si>
    <t>SITE-00151</t>
  </si>
  <si>
    <t>Schneidermouth Clinical Research Institute</t>
  </si>
  <si>
    <t>Dr. Li</t>
  </si>
  <si>
    <t>SITE-00152</t>
  </si>
  <si>
    <t>Lake Ellenhaven Community Health Network</t>
  </si>
  <si>
    <t>Kyleborough Clinical Research Institute</t>
  </si>
  <si>
    <t>SITE-00154</t>
  </si>
  <si>
    <t>Leeberg University Hospital</t>
  </si>
  <si>
    <t>Meganville Community Health Network</t>
  </si>
  <si>
    <t>Dr. Romero</t>
  </si>
  <si>
    <t>Lake Matthewberg Regional Cancer Center</t>
  </si>
  <si>
    <t>Dr. Harper</t>
  </si>
  <si>
    <t>East Henry Regional Cancer Center</t>
  </si>
  <si>
    <t>Dr. Schwartz</t>
  </si>
  <si>
    <t>Lake Samuel Community Health Network</t>
  </si>
  <si>
    <t>South Cheryl University Hospital</t>
  </si>
  <si>
    <t>Dr. Goodwin</t>
  </si>
  <si>
    <t>Youngbury Medical Center</t>
  </si>
  <si>
    <t>Mckeeborough Regional Cancer Center</t>
  </si>
  <si>
    <t>SITE-00162</t>
  </si>
  <si>
    <t>Murrayport University Hospital</t>
  </si>
  <si>
    <t>Dr. Strickland</t>
  </si>
  <si>
    <t>SITE-00163</t>
  </si>
  <si>
    <t>Burchborough Regional Cancer Center</t>
  </si>
  <si>
    <t>Port John University Hospital</t>
  </si>
  <si>
    <t>Dr. Davidson</t>
  </si>
  <si>
    <t>SITE-00165</t>
  </si>
  <si>
    <t>Angelaville Medical Center</t>
  </si>
  <si>
    <t>Dr. Dawson</t>
  </si>
  <si>
    <t>West Christopherburgh Clinical Research Institute</t>
  </si>
  <si>
    <t>SITE-00167</t>
  </si>
  <si>
    <t>Port Samuel University Hospital</t>
  </si>
  <si>
    <t>Dr. Potts</t>
  </si>
  <si>
    <t>Port Shannon Medical Center</t>
  </si>
  <si>
    <t>SITE-00169</t>
  </si>
  <si>
    <t>South Brianhaven University Hospital</t>
  </si>
  <si>
    <t>Vangstad Clinical Research Institute</t>
  </si>
  <si>
    <t>SITE-00171</t>
  </si>
  <si>
    <t>Sarahmouth Clinical Research Institute</t>
  </si>
  <si>
    <t>Dr. Moody</t>
  </si>
  <si>
    <t>SITE-00172</t>
  </si>
  <si>
    <t>North Justin Clinical Research Institute</t>
  </si>
  <si>
    <t>Port Janice Medical Center</t>
  </si>
  <si>
    <t>Dr. West</t>
  </si>
  <si>
    <t>North Andrewborough Community Health Network</t>
  </si>
  <si>
    <t>SITE-00175</t>
  </si>
  <si>
    <t>Rodriguezport Community Health Network</t>
  </si>
  <si>
    <t>North Johnmouth Medical Center</t>
  </si>
  <si>
    <t>Carlsontown Regional Cancer Center</t>
  </si>
  <si>
    <t>SITE-00178</t>
  </si>
  <si>
    <t>Lake Douglas Regional Cancer Center</t>
  </si>
  <si>
    <t>Dr. Patterson</t>
  </si>
  <si>
    <t>Johnchester Clinical Research Institute</t>
  </si>
  <si>
    <t>New Theresaland Medical Center</t>
  </si>
  <si>
    <t>Dr. Ashley</t>
  </si>
  <si>
    <t>SITE-00181</t>
  </si>
  <si>
    <t>South Morganton Community Health Network</t>
  </si>
  <si>
    <t>Dr. Reid</t>
  </si>
  <si>
    <t>Jontown Community Health Network</t>
  </si>
  <si>
    <t>West Johnville Regional Cancer Center</t>
  </si>
  <si>
    <t>Dr. Ingram</t>
  </si>
  <si>
    <t>Dennisstad Medical Center</t>
  </si>
  <si>
    <t>Port Kimberly Clinical Research Institute</t>
  </si>
  <si>
    <t>Welchberg Clinical Research Institute</t>
  </si>
  <si>
    <t>Johnsonborough University Hospital</t>
  </si>
  <si>
    <t>North Leslie Community Health Network</t>
  </si>
  <si>
    <t>Haysside University Hospital</t>
  </si>
  <si>
    <t>Port Deborahport Community Health Network</t>
  </si>
  <si>
    <t>Port Dianaview Clinical Research Institute</t>
  </si>
  <si>
    <t>SITE-00192</t>
  </si>
  <si>
    <t>Samuelfurt Community Health Network</t>
  </si>
  <si>
    <t>Dr. Paul</t>
  </si>
  <si>
    <t>Morganburgh Community Health Network</t>
  </si>
  <si>
    <t>Dr. Crawford</t>
  </si>
  <si>
    <t>Richardsonhaven Medical Center</t>
  </si>
  <si>
    <t>SITE-00195</t>
  </si>
  <si>
    <t>Lake Rogerchester Community Health Network</t>
  </si>
  <si>
    <t>Dr. Morrison</t>
  </si>
  <si>
    <t>SITE-00196</t>
  </si>
  <si>
    <t>New Kelly Community Health Network</t>
  </si>
  <si>
    <t>Donnaport Medical Center</t>
  </si>
  <si>
    <t>Dr. Griffin</t>
  </si>
  <si>
    <t>SITE-00198</t>
  </si>
  <si>
    <t>Jacksonmouth University Hospital</t>
  </si>
  <si>
    <t>Lake Mollystad Clinical Research Institute</t>
  </si>
  <si>
    <t>SITE-00200</t>
  </si>
  <si>
    <t>Hillton Regional Cancer Center</t>
  </si>
  <si>
    <t>Coxburgh Medical Center</t>
  </si>
  <si>
    <t>Dr. Cisneros</t>
  </si>
  <si>
    <t>SITE-00202</t>
  </si>
  <si>
    <t>Port Cathy Regional Cancer Center</t>
  </si>
  <si>
    <t>Dr. Harrington</t>
  </si>
  <si>
    <t>East Carlosstad University Hospital</t>
  </si>
  <si>
    <t>New Ericmouth University Hospital</t>
  </si>
  <si>
    <t>Scottland Regional Cancer Center</t>
  </si>
  <si>
    <t>Dr. Berry</t>
  </si>
  <si>
    <t>Raymondview Community Health Network</t>
  </si>
  <si>
    <t>North Jillfort University Hospital</t>
  </si>
  <si>
    <t>Dr. Holmes</t>
  </si>
  <si>
    <t>West Kimberlymouth University Hospital</t>
  </si>
  <si>
    <t>Dr. Lewis</t>
  </si>
  <si>
    <t>Heatherfort Medical Center</t>
  </si>
  <si>
    <t>Port Charles Regional Cancer Center</t>
  </si>
  <si>
    <t>Osbornmouth Clinical Research Institute</t>
  </si>
  <si>
    <t>Dr. Contreras</t>
  </si>
  <si>
    <t>New Amberport University Hospital</t>
  </si>
  <si>
    <t>Dr. York</t>
  </si>
  <si>
    <t>Port Michael Community Health Network</t>
  </si>
  <si>
    <t>Port Dominic University Hospital</t>
  </si>
  <si>
    <t>Dr. Tyler</t>
  </si>
  <si>
    <t>West Angelastad Medical Center</t>
  </si>
  <si>
    <t>Dr. Mcdonald</t>
  </si>
  <si>
    <t>New Nicole Regional Cancer Center</t>
  </si>
  <si>
    <t>Keyfort University Hospital</t>
  </si>
  <si>
    <t>SITE-00218</t>
  </si>
  <si>
    <t>Morrowland University Hospital</t>
  </si>
  <si>
    <t>SITE-00219</t>
  </si>
  <si>
    <t>Dawnmouth Regional Cancer Center</t>
  </si>
  <si>
    <t>SITE-00220</t>
  </si>
  <si>
    <t>Davidside Medical Center</t>
  </si>
  <si>
    <t>Dr. Bowman</t>
  </si>
  <si>
    <t>Port Tammy Clinical Research Institute</t>
  </si>
  <si>
    <t>SITE-00222</t>
  </si>
  <si>
    <t>Port Davidberg Regional Cancer Center</t>
  </si>
  <si>
    <t>West Sarah Regional Cancer Center</t>
  </si>
  <si>
    <t>SITE-00224</t>
  </si>
  <si>
    <t>Meghanview Community Health Network</t>
  </si>
  <si>
    <t>SITE-00225</t>
  </si>
  <si>
    <t>Davidport University Hospital</t>
  </si>
  <si>
    <t>New Danielleshire Community Health Network</t>
  </si>
  <si>
    <t>Dr. David</t>
  </si>
  <si>
    <t>East Donna University Hospital</t>
  </si>
  <si>
    <t>Dr. Le</t>
  </si>
  <si>
    <t>SITE-00228</t>
  </si>
  <si>
    <t>Meganshire Community Health Network</t>
  </si>
  <si>
    <t>North Brandonshire Medical Center</t>
  </si>
  <si>
    <t>Port Ashley Community Health Network</t>
  </si>
  <si>
    <t>South Pamelaside Clinical Research Institute</t>
  </si>
  <si>
    <t>SITE-00232</t>
  </si>
  <si>
    <t>Timothyfurt Regional Cancer Center</t>
  </si>
  <si>
    <t>Lake Brianmouth Medical Center</t>
  </si>
  <si>
    <t>Harrisberg Regional Cancer Center</t>
  </si>
  <si>
    <t>Jessicastad Clinical Research Institute</t>
  </si>
  <si>
    <t>Dr. Hester</t>
  </si>
  <si>
    <t>Port Mitchell Clinical Research Institute</t>
  </si>
  <si>
    <t>Dr. Hoffman</t>
  </si>
  <si>
    <t>Johnville Clinical Research Institute</t>
  </si>
  <si>
    <t>SITE-00238</t>
  </si>
  <si>
    <t>East Colin University Hospital</t>
  </si>
  <si>
    <t>SITE-00239</t>
  </si>
  <si>
    <t>Linchester Community Health Network</t>
  </si>
  <si>
    <t>SITE-00240</t>
  </si>
  <si>
    <t>Port Mark Community Health Network</t>
  </si>
  <si>
    <t>Jamesburgh Medical Center</t>
  </si>
  <si>
    <t>SITE-00242</t>
  </si>
  <si>
    <t>Jimenezport Medical Center</t>
  </si>
  <si>
    <t>SITE-00243</t>
  </si>
  <si>
    <t>South Williambury University Hospital</t>
  </si>
  <si>
    <t>Brandonport University Hospital</t>
  </si>
  <si>
    <t>Dr. Simpson</t>
  </si>
  <si>
    <t>Mitchelltown Clinical Research Institute</t>
  </si>
  <si>
    <t>Dr. Boone</t>
  </si>
  <si>
    <t>Andersonview Regional Cancer Center</t>
  </si>
  <si>
    <t>Diazfurt Community Health Network</t>
  </si>
  <si>
    <t>SITE-00248</t>
  </si>
  <si>
    <t>West Angela Clinical Research Institute</t>
  </si>
  <si>
    <t>Duranview Medical Center</t>
  </si>
  <si>
    <t>Dr. Bryan</t>
  </si>
  <si>
    <t>East Theresafurt Regional Cancer Center</t>
  </si>
  <si>
    <t>SITE-00251</t>
  </si>
  <si>
    <t>Angelastad Clinical Research Institute</t>
  </si>
  <si>
    <t>SITE-00252</t>
  </si>
  <si>
    <t>New William Clinical Research Institute</t>
  </si>
  <si>
    <t>Dr. Porter</t>
  </si>
  <si>
    <t>SITE-00253</t>
  </si>
  <si>
    <t>North Derrickmouth Community Health Network</t>
  </si>
  <si>
    <t>Hernandezhaven Medical Center</t>
  </si>
  <si>
    <t>Franciscoport Clinical Research Institute</t>
  </si>
  <si>
    <t>Dr. Wheeler</t>
  </si>
  <si>
    <t>Ericksonport Regional Cancer Center</t>
  </si>
  <si>
    <t>SITE-00257</t>
  </si>
  <si>
    <t>West Markville University Hospital</t>
  </si>
  <si>
    <t>Dr. Whitney</t>
  </si>
  <si>
    <t>Lauratown Community Health Network</t>
  </si>
  <si>
    <t>Dr. Carlson</t>
  </si>
  <si>
    <t>SITE-00259</t>
  </si>
  <si>
    <t>Tammyshire University Hospital</t>
  </si>
  <si>
    <t>New Timothyhaven Clinical Research Institute</t>
  </si>
  <si>
    <t>Dr. Fuller</t>
  </si>
  <si>
    <t>Hernandezbury Community Health Network</t>
  </si>
  <si>
    <t>East Andrewmouth University Hospital</t>
  </si>
  <si>
    <t>Vaughnchester Clinical Research Institute</t>
  </si>
  <si>
    <t>Dr. Shaw</t>
  </si>
  <si>
    <t>SITE-00264</t>
  </si>
  <si>
    <t>Salaston University Hospital</t>
  </si>
  <si>
    <t>Dr. Thornton</t>
  </si>
  <si>
    <t>New Mark University Hospital</t>
  </si>
  <si>
    <t>Dr. Bates</t>
  </si>
  <si>
    <t>Edwardsburgh Community Health Network</t>
  </si>
  <si>
    <t>Dr. Stevens</t>
  </si>
  <si>
    <t>Amyview Regional Cancer Center</t>
  </si>
  <si>
    <t>Dr. Bishop</t>
  </si>
  <si>
    <t>East Joshua Medical Center</t>
  </si>
  <si>
    <t>Kellieborough Medical Center</t>
  </si>
  <si>
    <t>Stewartstad University Hospital</t>
  </si>
  <si>
    <t>Keithshire Community Health Network</t>
  </si>
  <si>
    <t>Dr. Rhodes</t>
  </si>
  <si>
    <t>Huangfurt University Hospital</t>
  </si>
  <si>
    <t>Dr. Cardenas</t>
  </si>
  <si>
    <t>West Bobby Community Health Network</t>
  </si>
  <si>
    <t>SITE-00274</t>
  </si>
  <si>
    <t>West Sandraview Medical Center</t>
  </si>
  <si>
    <t>Dr. Burgess</t>
  </si>
  <si>
    <t>SITE-00275</t>
  </si>
  <si>
    <t>East Maria Clinical Research Institute</t>
  </si>
  <si>
    <t>Derrickshire Regional Cancer Center</t>
  </si>
  <si>
    <t>Dr. Allen</t>
  </si>
  <si>
    <t>SITE-00277</t>
  </si>
  <si>
    <t>Lake Rebeccabury Regional Cancer Center</t>
  </si>
  <si>
    <t>North Robertfort Medical Center</t>
  </si>
  <si>
    <t>North Tamara Regional Cancer Center</t>
  </si>
  <si>
    <t>Dr. Spence</t>
  </si>
  <si>
    <t>SITE-00280</t>
  </si>
  <si>
    <t>South Denise Clinical Research Institute</t>
  </si>
  <si>
    <t>Dr. Gilmore</t>
  </si>
  <si>
    <t>SITE-00281</t>
  </si>
  <si>
    <t>Woodsborough University Hospital</t>
  </si>
  <si>
    <t>Dr. Avila</t>
  </si>
  <si>
    <t>Manuelton Community Health Network</t>
  </si>
  <si>
    <t>Dr. Velez</t>
  </si>
  <si>
    <t>Lake Audreyside Medical Center</t>
  </si>
  <si>
    <t>East Robertburgh Clinical Research Institute</t>
  </si>
  <si>
    <t>Dr. Peck</t>
  </si>
  <si>
    <t>SITE-00285</t>
  </si>
  <si>
    <t>Port Randyfort Regional Cancer Center</t>
  </si>
  <si>
    <t>Nancytown Medical Center</t>
  </si>
  <si>
    <t>West Justinside Community Health Network</t>
  </si>
  <si>
    <t>SITE-00288</t>
  </si>
  <si>
    <t>Port William University Hospital</t>
  </si>
  <si>
    <t>SITE-00289</t>
  </si>
  <si>
    <t>West Franciscomouth Community Health Network</t>
  </si>
  <si>
    <t>North Jill Clinical Research Institute</t>
  </si>
  <si>
    <t>Dr. Gibbs</t>
  </si>
  <si>
    <t>SITE-00291</t>
  </si>
  <si>
    <t>East Cheryl University Hospital</t>
  </si>
  <si>
    <t>Dr. Fowler</t>
  </si>
  <si>
    <t>SITE-00292</t>
  </si>
  <si>
    <t>Wilcoxhaven University Hospital</t>
  </si>
  <si>
    <t>SITE-00293</t>
  </si>
  <si>
    <t>Caldwellburgh Regional Cancer Center</t>
  </si>
  <si>
    <t>Dr. Holden</t>
  </si>
  <si>
    <t>Morrisbury Clinical Research Institute</t>
  </si>
  <si>
    <t>SITE-00295</t>
  </si>
  <si>
    <t>Youngview University Hospital</t>
  </si>
  <si>
    <t>Dr. Finley</t>
  </si>
  <si>
    <t>Brandishire Clinical Research Institute</t>
  </si>
  <si>
    <t>SITE-00297</t>
  </si>
  <si>
    <t>Heatherton Regional Cancer Center</t>
  </si>
  <si>
    <t>Parkerfurt Medical Center</t>
  </si>
  <si>
    <t>Hannahport Medical Center</t>
  </si>
  <si>
    <t>East Susan Regional Cancer Center</t>
  </si>
  <si>
    <t>Adkinsstad University Hospital</t>
  </si>
  <si>
    <t>SITE-00302</t>
  </si>
  <si>
    <t>Toddborough University Hospital</t>
  </si>
  <si>
    <t>New Seanstad Community Health Network</t>
  </si>
  <si>
    <t>SITE-00304</t>
  </si>
  <si>
    <t>North Mariahaven University Hospital</t>
  </si>
  <si>
    <t>East Mark Clinical Research Institute</t>
  </si>
  <si>
    <t>Dr. Meyer</t>
  </si>
  <si>
    <t>Lake Jamieshire Regional Cancer Center</t>
  </si>
  <si>
    <t>Dr. Burns</t>
  </si>
  <si>
    <t>SITE-00307</t>
  </si>
  <si>
    <t>Stokesmouth Community Health Network</t>
  </si>
  <si>
    <t>Bryantton Medical Center</t>
  </si>
  <si>
    <t>Dr. Hansen</t>
  </si>
  <si>
    <t>Jenniferfurt Community Health Network</t>
  </si>
  <si>
    <t>Lake Jefferyland Clinical Research Institute</t>
  </si>
  <si>
    <t>Isabellaside Community Health Network</t>
  </si>
  <si>
    <t>Dr. Mcknight</t>
  </si>
  <si>
    <t>South Anthonychester Community Health Network</t>
  </si>
  <si>
    <t>Port Darlene Clinical Research Institute</t>
  </si>
  <si>
    <t>Dr. Daniel</t>
  </si>
  <si>
    <t>Brooksfurt Community Health Network</t>
  </si>
  <si>
    <t>Bennettside Community Health Network</t>
  </si>
  <si>
    <t>Davidside Community Health Network</t>
  </si>
  <si>
    <t>Lake Tiffany Community Health Network</t>
  </si>
  <si>
    <t>West Stevenside Community Health Network</t>
  </si>
  <si>
    <t>Morrowbury University Hospital</t>
  </si>
  <si>
    <t>West Jacob Medical Center</t>
  </si>
  <si>
    <t>Dr. Golden</t>
  </si>
  <si>
    <t>SITE-00321</t>
  </si>
  <si>
    <t>North Lisachester Regional Cancer Center</t>
  </si>
  <si>
    <t>SITE-00322</t>
  </si>
  <si>
    <t>East Jamieville Regional Cancer Center</t>
  </si>
  <si>
    <t>Harperton Clinical Research Institute</t>
  </si>
  <si>
    <t>SITE-00324</t>
  </si>
  <si>
    <t>South Scottside Regional Cancer Center</t>
  </si>
  <si>
    <t>East Williamport Community Health Network</t>
  </si>
  <si>
    <t>SITE-00326</t>
  </si>
  <si>
    <t>Barbaramouth Medical Center</t>
  </si>
  <si>
    <t>Lake Adriana Medical Center</t>
  </si>
  <si>
    <t>Dr. Gutierrez</t>
  </si>
  <si>
    <t>Bruceshire Medical Center</t>
  </si>
  <si>
    <t>Dr. Hobbs</t>
  </si>
  <si>
    <t>SITE-00329</t>
  </si>
  <si>
    <t>Lake Erika Medical Center</t>
  </si>
  <si>
    <t>Dr. Peters</t>
  </si>
  <si>
    <t>West Shellyfurt Medical Center</t>
  </si>
  <si>
    <t>Dr. Floyd</t>
  </si>
  <si>
    <t>SITE-00331</t>
  </si>
  <si>
    <t>Heatherchester University Hospital</t>
  </si>
  <si>
    <t>Whiteside Regional Cancer Center</t>
  </si>
  <si>
    <t>West Meredith Regional Cancer Center</t>
  </si>
  <si>
    <t>Melendezside Community Health Network</t>
  </si>
  <si>
    <t>SITE-00335</t>
  </si>
  <si>
    <t>Grantberg Medical Center</t>
  </si>
  <si>
    <t>Dr. Price</t>
  </si>
  <si>
    <t>Jamesland Regional Cancer Center</t>
  </si>
  <si>
    <t>Dr. Nielsen</t>
  </si>
  <si>
    <t>Christopherborough Clinical Research Institute</t>
  </si>
  <si>
    <t>Nunezton Regional Cancer Center</t>
  </si>
  <si>
    <t>Dr. Russo</t>
  </si>
  <si>
    <t>Port Kathleen Community Health Network</t>
  </si>
  <si>
    <t>Dr. Ramsey</t>
  </si>
  <si>
    <t>South Jason Clinical Research Institute</t>
  </si>
  <si>
    <t>Dr. Meadows</t>
  </si>
  <si>
    <t>Susantown University Hospital</t>
  </si>
  <si>
    <t>Lake David Medical Center</t>
  </si>
  <si>
    <t>Dr. Key</t>
  </si>
  <si>
    <t>Rochaborough Community Health Network</t>
  </si>
  <si>
    <t>New Marc Clinical Research Institute</t>
  </si>
  <si>
    <t>SITE-00345</t>
  </si>
  <si>
    <t>Fergusonstad Community Health Network</t>
  </si>
  <si>
    <t>Williamfort Community Health Network</t>
  </si>
  <si>
    <t>SITE-00347</t>
  </si>
  <si>
    <t>Gillmouth Medical Center</t>
  </si>
  <si>
    <t>Dr. Rocha</t>
  </si>
  <si>
    <t>Lawrenceton Clinical Research Institute</t>
  </si>
  <si>
    <t>Dr. Hart</t>
  </si>
  <si>
    <t>SITE-00349</t>
  </si>
  <si>
    <t>Lake Dustin Medical Center</t>
  </si>
  <si>
    <t>SITE-00350</t>
  </si>
  <si>
    <t>Phillipsborough University Hospital</t>
  </si>
  <si>
    <t>SITE-00351</t>
  </si>
  <si>
    <t>Hudsonbury Community Health Network</t>
  </si>
  <si>
    <t>Jonathanfort Community Health Network</t>
  </si>
  <si>
    <t>Dr. Levy</t>
  </si>
  <si>
    <t>Murraystad Clinical Research Institute</t>
  </si>
  <si>
    <t>Dr. Mooney</t>
  </si>
  <si>
    <t>New Arthurland Medical Center</t>
  </si>
  <si>
    <t>Dr. Landry</t>
  </si>
  <si>
    <t>SITE-00356</t>
  </si>
  <si>
    <t>Port Adamberg Clinical Research Institute</t>
  </si>
  <si>
    <t>Dr. Kirby</t>
  </si>
  <si>
    <t>SITE-00357</t>
  </si>
  <si>
    <t>North Jasmine Regional Cancer Center</t>
  </si>
  <si>
    <t>Brooksfort Regional Cancer Center</t>
  </si>
  <si>
    <t>SITE-00359</t>
  </si>
  <si>
    <t>North Amandachester Regional Cancer Center</t>
  </si>
  <si>
    <t>SITE-00360</t>
  </si>
  <si>
    <t>Amandaport University Hospital</t>
  </si>
  <si>
    <t>SITE-00361</t>
  </si>
  <si>
    <t>Drakeburgh Community Health Network</t>
  </si>
  <si>
    <t>New Eduardoborough University Hospital</t>
  </si>
  <si>
    <t>Lisaview Medical Center</t>
  </si>
  <si>
    <t>West Susanmouth Community Health Network</t>
  </si>
  <si>
    <t>Dr. Cunningham</t>
  </si>
  <si>
    <t>West Gabriella Regional Cancer Center</t>
  </si>
  <si>
    <t>Dr. Abbott</t>
  </si>
  <si>
    <t>North Richardfurt Clinical Research Institute</t>
  </si>
  <si>
    <t>Dr. Tran</t>
  </si>
  <si>
    <t>SITE-00367</t>
  </si>
  <si>
    <t>Lake Albertburgh Medical Center</t>
  </si>
  <si>
    <t>Newmanmouth Community Health Network</t>
  </si>
  <si>
    <t>New Samanthabury Regional Cancer Center</t>
  </si>
  <si>
    <t>Nelsonland Medical Center</t>
  </si>
  <si>
    <t>SITE-00371</t>
  </si>
  <si>
    <t>Rachelshire Community Health Network</t>
  </si>
  <si>
    <t>Port Leonard Clinical Research Institute</t>
  </si>
  <si>
    <t>Dr. Ali</t>
  </si>
  <si>
    <t>Port Lori Medical Center</t>
  </si>
  <si>
    <t>West Franciscobury Medical Center</t>
  </si>
  <si>
    <t>Rhodesside Community Health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</si>
</sst>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B4744"/>
      <rgbColor rgb="FFF9F9F9"/>
      <rgbColor rgb="FFCCFFFF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Latency by Agent (ms)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Agent_Summary!$C$4</c:f>
              <c:strCache>
                <c:ptCount val="1"/>
                <c:pt idx="0">
                  <c:v>Avg Latency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Agent_Summary!$A$5:$A$10</c:f>
              <c:strCache>
                <c:ptCount val="6"/>
                <c:pt idx="0">
                  <c:v>Adverse Event Triage Agent</c:v>
                </c:pt>
                <c:pt idx="1">
                  <c:v>Compound Similarity Agent</c:v>
                </c:pt>
                <c:pt idx="2">
                  <c:v>Literature &amp; Document Research Agent</c:v>
                </c:pt>
                <c:pt idx="3">
                  <c:v>Report Writer Agent</c:v>
                </c:pt>
                <c:pt idx="4">
                  <c:v>Router / Planner Agent</c:v>
                </c:pt>
                <c:pt idx="5">
                  <c:v>Trial Data Analyst Agent</c:v>
                </c:pt>
              </c:strCache>
            </c:strRef>
          </c:cat>
          <c:val>
            <c:numRef>
              <c:f>Agent_Summary!$C$5:$C$10</c:f>
              <c:numCache>
                <c:formatCode>General</c:formatCode>
                <c:ptCount val="6"/>
                <c:pt idx="0">
                  <c:v>1426</c:v>
                </c:pt>
                <c:pt idx="1">
                  <c:v>1379</c:v>
                </c:pt>
                <c:pt idx="2">
                  <c:v>1572</c:v>
                </c:pt>
                <c:pt idx="3">
                  <c:v>1480</c:v>
                </c:pt>
                <c:pt idx="4">
                  <c:v>1313</c:v>
                </c:pt>
                <c:pt idx="5">
                  <c:v>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7-9442-BF19-820788E37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6819"/>
        <c:axId val="26268726"/>
      </c:barChart>
      <c:catAx>
        <c:axId val="4376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68726"/>
        <c:crosses val="autoZero"/>
        <c:auto val="1"/>
        <c:lblAlgn val="ctr"/>
        <c:lblOffset val="100"/>
        <c:noMultiLvlLbl val="0"/>
      </c:catAx>
      <c:valAx>
        <c:axId val="26268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6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Escalation % by Agent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Agent_Summary!$G$4</c:f>
              <c:strCache>
                <c:ptCount val="1"/>
                <c:pt idx="0">
                  <c:v>Escalation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Agent_Summary!$A$5:$A$10</c:f>
              <c:strCache>
                <c:ptCount val="6"/>
                <c:pt idx="0">
                  <c:v>Adverse Event Triage Agent</c:v>
                </c:pt>
                <c:pt idx="1">
                  <c:v>Compound Similarity Agent</c:v>
                </c:pt>
                <c:pt idx="2">
                  <c:v>Literature &amp; Document Research Agent</c:v>
                </c:pt>
                <c:pt idx="3">
                  <c:v>Report Writer Agent</c:v>
                </c:pt>
                <c:pt idx="4">
                  <c:v>Router / Planner Agent</c:v>
                </c:pt>
                <c:pt idx="5">
                  <c:v>Trial Data Analyst Agent</c:v>
                </c:pt>
              </c:strCache>
            </c:strRef>
          </c:cat>
          <c:val>
            <c:numRef>
              <c:f>Agent_Summary!$G$5:$G$10</c:f>
              <c:numCache>
                <c:formatCode>General</c:formatCode>
                <c:ptCount val="6"/>
                <c:pt idx="0">
                  <c:v>18.3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1-C84B-9CFC-CA971055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5395"/>
        <c:axId val="80343353"/>
      </c:barChart>
      <c:catAx>
        <c:axId val="90053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43353"/>
        <c:crosses val="autoZero"/>
        <c:auto val="1"/>
        <c:lblAlgn val="ctr"/>
        <c:lblOffset val="100"/>
        <c:noMultiLvlLbl val="0"/>
      </c:catAx>
      <c:valAx>
        <c:axId val="80343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53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Calls by Tool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Agent_Summary!$B$14</c:f>
              <c:strCache>
                <c:ptCount val="1"/>
                <c:pt idx="0">
                  <c:v>Calls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Agent_Summary!$A$15:$A$21</c:f>
              <c:strCache>
                <c:ptCount val="7"/>
                <c:pt idx="0">
                  <c:v>ae_severity_classifier_tool</c:v>
                </c:pt>
                <c:pt idx="1">
                  <c:v>citation_formatter_tool</c:v>
                </c:pt>
                <c:pt idx="2">
                  <c:v>compound_similarity_tool</c:v>
                </c:pt>
                <c:pt idx="3">
                  <c:v>escalation_notifier_tool</c:v>
                </c:pt>
                <c:pt idx="4">
                  <c:v>sql_query_tool</c:v>
                </c:pt>
                <c:pt idx="5">
                  <c:v>statistics_tool</c:v>
                </c:pt>
                <c:pt idx="6">
                  <c:v>vector_search_tool</c:v>
                </c:pt>
              </c:strCache>
            </c:strRef>
          </c:cat>
          <c:val>
            <c:numRef>
              <c:f>Agent_Summary!$B$15:$B$21</c:f>
              <c:numCache>
                <c:formatCode>General</c:formatCode>
                <c:ptCount val="7"/>
                <c:pt idx="0">
                  <c:v>73</c:v>
                </c:pt>
                <c:pt idx="1">
                  <c:v>47</c:v>
                </c:pt>
                <c:pt idx="2">
                  <c:v>52</c:v>
                </c:pt>
                <c:pt idx="3">
                  <c:v>65</c:v>
                </c:pt>
                <c:pt idx="4">
                  <c:v>58</c:v>
                </c:pt>
                <c:pt idx="5">
                  <c:v>54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9-C64B-907B-3BB38DCB1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84191"/>
        <c:axId val="43173154"/>
      </c:barChart>
      <c:catAx>
        <c:axId val="475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73154"/>
        <c:crosses val="autoZero"/>
        <c:auto val="1"/>
        <c:lblAlgn val="ctr"/>
        <c:lblOffset val="100"/>
        <c:noMultiLvlLbl val="0"/>
      </c:catAx>
      <c:valAx>
        <c:axId val="43173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84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Enrollment % by Trial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Trial_AE_Summary!$E$5</c:f>
              <c:strCache>
                <c:ptCount val="1"/>
                <c:pt idx="0">
                  <c:v>% Enrolled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Trial_AE_Summary!$A$6:$A$9</c:f>
              <c:strCache>
                <c:ptCount val="4"/>
                <c:pt idx="0">
                  <c:v>Phase I</c:v>
                </c:pt>
                <c:pt idx="1">
                  <c:v>Phase II</c:v>
                </c:pt>
                <c:pt idx="2">
                  <c:v>Phase III</c:v>
                </c:pt>
                <c:pt idx="3">
                  <c:v>Phase IV</c:v>
                </c:pt>
              </c:strCache>
            </c:strRef>
          </c:cat>
          <c:val>
            <c:numRef>
              <c:f>Trial_AE_Summary!$E$6:$E$9</c:f>
              <c:numCache>
                <c:formatCode>General</c:formatCode>
                <c:ptCount val="4"/>
                <c:pt idx="0">
                  <c:v>71.8</c:v>
                </c:pt>
                <c:pt idx="1">
                  <c:v>75.400000000000006</c:v>
                </c:pt>
                <c:pt idx="2">
                  <c:v>65.8</c:v>
                </c:pt>
                <c:pt idx="3">
                  <c:v>85.2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8-9C41-9F69-7A0F9193E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32809"/>
        <c:axId val="39232343"/>
      </c:barChart>
      <c:catAx>
        <c:axId val="140328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232343"/>
        <c:crosses val="autoZero"/>
        <c:auto val="1"/>
        <c:lblAlgn val="ctr"/>
        <c:lblOffset val="100"/>
        <c:noMultiLvlLbl val="0"/>
      </c:catAx>
      <c:valAx>
        <c:axId val="39232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328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Trials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Trial_AE_Summary!$B$13</c:f>
              <c:strCache>
                <c:ptCount val="1"/>
                <c:pt idx="0">
                  <c:v># Trials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Trial_AE_Summary!$A$14:$A$18</c:f>
              <c:strCache>
                <c:ptCount val="5"/>
                <c:pt idx="0">
                  <c:v>Active, not recruiting</c:v>
                </c:pt>
                <c:pt idx="1">
                  <c:v>Completed</c:v>
                </c:pt>
                <c:pt idx="2">
                  <c:v>Recruiting</c:v>
                </c:pt>
                <c:pt idx="3">
                  <c:v>Suspended</c:v>
                </c:pt>
                <c:pt idx="4">
                  <c:v>Terminated</c:v>
                </c:pt>
              </c:strCache>
            </c:strRef>
          </c:cat>
          <c:val>
            <c:numRef>
              <c:f>Trial_AE_Summary!$B$14:$B$18</c:f>
              <c:numCache>
                <c:formatCode>General</c:formatCode>
                <c:ptCount val="5"/>
                <c:pt idx="0">
                  <c:v>29</c:v>
                </c:pt>
                <c:pt idx="1">
                  <c:v>39</c:v>
                </c:pt>
                <c:pt idx="2">
                  <c:v>27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0-DA40-B319-3B1FCA16D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29329"/>
        <c:axId val="23197102"/>
      </c:barChart>
      <c:catAx>
        <c:axId val="19329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97102"/>
        <c:crosses val="autoZero"/>
        <c:auto val="1"/>
        <c:lblAlgn val="ctr"/>
        <c:lblOffset val="100"/>
        <c:noMultiLvlLbl val="0"/>
      </c:catAx>
      <c:valAx>
        <c:axId val="23197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293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Adverse Events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Trial_AE_Summary!$B$22</c:f>
              <c:strCache>
                <c:ptCount val="1"/>
                <c:pt idx="0">
                  <c:v># Events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Trial_AE_Summary!$A$23:$A$25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Trial_AE_Summary!$B$23:$B$25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C-DA4F-A846-8386C56176B1}"/>
            </c:ext>
          </c:extLst>
        </c:ser>
        <c:ser>
          <c:idx val="1"/>
          <c:order val="1"/>
          <c:tx>
            <c:strRef>
              <c:f>Trial_AE_Summary!$C$22</c:f>
              <c:strCache>
                <c:ptCount val="1"/>
                <c:pt idx="0">
                  <c:v># Serious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Trial_AE_Summary!$A$23:$A$25</c:f>
              <c:strCache>
                <c:ptCount val="3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Trial_AE_Summary!$C$23:$C$25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C-DA4F-A846-8386C5617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68806"/>
        <c:axId val="77770383"/>
      </c:barChart>
      <c:catAx>
        <c:axId val="30568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770383"/>
        <c:crosses val="autoZero"/>
        <c:auto val="1"/>
        <c:lblAlgn val="ctr"/>
        <c:lblOffset val="100"/>
        <c:noMultiLvlLbl val="0"/>
      </c:catAx>
      <c:valAx>
        <c:axId val="77770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5688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Enrollment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Trial_AE_Summary!$C$29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Trial_AE_Summary!$A$30:$A$39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Japan</c:v>
                </c:pt>
                <c:pt idx="6">
                  <c:v>South Africa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Trial_AE_Summary!$C$30:$C$39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F-5540-AABD-3333CC39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207069"/>
        <c:axId val="75716841"/>
      </c:barChart>
      <c:catAx>
        <c:axId val="92207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716841"/>
        <c:crosses val="autoZero"/>
        <c:auto val="1"/>
        <c:lblAlgn val="ctr"/>
        <c:lblOffset val="100"/>
        <c:noMultiLvlLbl val="0"/>
      </c:catAx>
      <c:valAx>
        <c:axId val="75716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07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10080</xdr:rowOff>
    </xdr:from>
    <xdr:to>
      <xdr:col>3</xdr:col>
      <xdr:colOff>299427</xdr:colOff>
      <xdr:row>39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10080</xdr:rowOff>
    </xdr:from>
    <xdr:to>
      <xdr:col>19</xdr:col>
      <xdr:colOff>364680</xdr:colOff>
      <xdr:row>39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10080</xdr:rowOff>
    </xdr:from>
    <xdr:to>
      <xdr:col>3</xdr:col>
      <xdr:colOff>299427</xdr:colOff>
      <xdr:row>57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19</xdr:row>
      <xdr:rowOff>162000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160560</xdr:rowOff>
    </xdr:from>
    <xdr:to>
      <xdr:col>16</xdr:col>
      <xdr:colOff>364680</xdr:colOff>
      <xdr:row>27</xdr:row>
      <xdr:rowOff>162000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19</xdr:row>
      <xdr:rowOff>160560</xdr:rowOff>
    </xdr:from>
    <xdr:to>
      <xdr:col>16</xdr:col>
      <xdr:colOff>364680</xdr:colOff>
      <xdr:row>36</xdr:row>
      <xdr:rowOff>161640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26</xdr:row>
      <xdr:rowOff>160920</xdr:rowOff>
    </xdr:from>
    <xdr:to>
      <xdr:col>16</xdr:col>
      <xdr:colOff>364680</xdr:colOff>
      <xdr:row>43</xdr:row>
      <xdr:rowOff>162000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gentLogsRaw" displayName="AgentLogsRaw" ref="A1:L401" totalsRowShown="0">
  <autoFilter ref="A1:L401" xr:uid="{00000000-0009-0000-0100-000002000000}"/>
  <tableColumns count="12">
    <tableColumn id="1" xr3:uid="{00000000-0010-0000-0000-000001000000}" name="log_id"/>
    <tableColumn id="2" xr3:uid="{00000000-0010-0000-0000-000002000000}" name="session_id"/>
    <tableColumn id="3" xr3:uid="{00000000-0010-0000-0000-000003000000}" name="timestamp"/>
    <tableColumn id="4" xr3:uid="{00000000-0010-0000-0000-000004000000}" name="user_role"/>
    <tableColumn id="5" xr3:uid="{00000000-0010-0000-0000-000005000000}" name="user_query"/>
    <tableColumn id="6" xr3:uid="{00000000-0010-0000-0000-000006000000}" name="agent_invoked"/>
    <tableColumn id="7" xr3:uid="{00000000-0010-0000-0000-000007000000}" name="tool_called"/>
    <tableColumn id="8" xr3:uid="{00000000-0010-0000-0000-000008000000}" name="response_summary"/>
    <tableColumn id="9" xr3:uid="{00000000-0010-0000-0000-000009000000}" name="latency_ms"/>
    <tableColumn id="10" xr3:uid="{00000000-0010-0000-0000-00000A000000}" name="tokens_used"/>
    <tableColumn id="11" xr3:uid="{00000000-0010-0000-0000-00000B000000}" name="feedback_rating"/>
    <tableColumn id="12" xr3:uid="{00000000-0010-0000-0000-00000C000000}" name="escalated_fla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rialsRaw" displayName="TrialsRaw" ref="A1:L111" totalsRowShown="0">
  <autoFilter ref="A1:L111" xr:uid="{00000000-0009-0000-0100-000004000000}"/>
  <tableColumns count="12">
    <tableColumn id="1" xr3:uid="{00000000-0010-0000-0100-000001000000}" name="trial_id"/>
    <tableColumn id="2" xr3:uid="{00000000-0010-0000-0100-000002000000}" name="compound_id"/>
    <tableColumn id="3" xr3:uid="{00000000-0010-0000-0100-000003000000}" name="trial_phase"/>
    <tableColumn id="4" xr3:uid="{00000000-0010-0000-0100-000004000000}" name="therapeutic_area"/>
    <tableColumn id="5" xr3:uid="{00000000-0010-0000-0100-000005000000}" name="sponsor"/>
    <tableColumn id="6" xr3:uid="{00000000-0010-0000-0100-000006000000}" name="start_date"/>
    <tableColumn id="7" xr3:uid="{00000000-0010-0000-0100-000007000000}" name="planned_end_date"/>
    <tableColumn id="8" xr3:uid="{00000000-0010-0000-0100-000008000000}" name="actual_end_date"/>
    <tableColumn id="9" xr3:uid="{00000000-0010-0000-0100-000009000000}" name="status"/>
    <tableColumn id="10" xr3:uid="{00000000-0010-0000-0100-00000A000000}" name="target_enrollment"/>
    <tableColumn id="11" xr3:uid="{00000000-0010-0000-0100-00000B000000}" name="actual_enrollment"/>
    <tableColumn id="12" xr3:uid="{00000000-0010-0000-0100-00000C000000}" name="primary_endpoi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AERaw" displayName="AERaw" ref="A1:K501" totalsRowShown="0">
  <autoFilter ref="A1:K501" xr:uid="{00000000-0009-0000-0100-000001000000}"/>
  <tableColumns count="11">
    <tableColumn id="1" xr3:uid="{00000000-0010-0000-0200-000001000000}" name="event_id"/>
    <tableColumn id="2" xr3:uid="{00000000-0010-0000-0200-000002000000}" name="trial_id"/>
    <tableColumn id="3" xr3:uid="{00000000-0010-0000-0200-000003000000}" name="site_id"/>
    <tableColumn id="4" xr3:uid="{00000000-0010-0000-0200-000004000000}" name="patient_code"/>
    <tableColumn id="5" xr3:uid="{00000000-0010-0000-0200-000005000000}" name="event_date"/>
    <tableColumn id="6" xr3:uid="{00000000-0010-0000-0200-000006000000}" name="adverse_event_term"/>
    <tableColumn id="7" xr3:uid="{00000000-0010-0000-0200-000007000000}" name="severity"/>
    <tableColumn id="8" xr3:uid="{00000000-0010-0000-0200-000008000000}" name="seriousness"/>
    <tableColumn id="9" xr3:uid="{00000000-0010-0000-0200-000009000000}" name="causality_assessment"/>
    <tableColumn id="10" xr3:uid="{00000000-0010-0000-0200-00000A000000}" name="outcome"/>
    <tableColumn id="11" xr3:uid="{00000000-0010-0000-0200-00000B000000}" name="reported_b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SitesRaw" displayName="SitesRaw" ref="A1:G376" totalsRowShown="0">
  <autoFilter ref="A1:G376" xr:uid="{00000000-0009-0000-0100-000003000000}"/>
  <tableColumns count="7">
    <tableColumn id="1" xr3:uid="{00000000-0010-0000-0300-000001000000}" name="site_id"/>
    <tableColumn id="2" xr3:uid="{00000000-0010-0000-0300-000002000000}" name="trial_id"/>
    <tableColumn id="3" xr3:uid="{00000000-0010-0000-0300-000003000000}" name="site_name"/>
    <tableColumn id="4" xr3:uid="{00000000-0010-0000-0300-000004000000}" name="country"/>
    <tableColumn id="5" xr3:uid="{00000000-0010-0000-0300-000005000000}" name="principal_investigator"/>
    <tableColumn id="6" xr3:uid="{00000000-0010-0000-0300-000006000000}" name="enrollment_count"/>
    <tableColumn id="7" xr3:uid="{00000000-0010-0000-0300-000007000000}" name="site_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A4" zoomScale="75" zoomScaleNormal="100" workbookViewId="0"/>
  </sheetViews>
  <sheetFormatPr baseColWidth="10" defaultColWidth="8.6640625" defaultRowHeight="15" x14ac:dyDescent="0.2"/>
  <cols>
    <col min="1" max="1" width="55.5" bestFit="1" customWidth="1"/>
    <col min="2" max="7" width="16" customWidth="1"/>
  </cols>
  <sheetData>
    <row r="1" spans="1:7" ht="18" x14ac:dyDescent="0.2">
      <c r="A1" s="1" t="s">
        <v>0</v>
      </c>
    </row>
    <row r="2" spans="1:7" x14ac:dyDescent="0.2">
      <c r="A2" s="2" t="s">
        <v>1</v>
      </c>
    </row>
    <row r="4" spans="1:7" ht="3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">
      <c r="A5" s="4" t="s">
        <v>9</v>
      </c>
      <c r="B5" s="5">
        <f>COUNTIF(Agent_Logs_Raw!F2:F401,A5)</f>
        <v>71</v>
      </c>
      <c r="C5" s="5">
        <f>ROUND(AVERAGEIF(Agent_Logs_Raw!F2:F401,A5,Agent_Logs_Raw!I2:I401),0)</f>
        <v>1426</v>
      </c>
      <c r="D5" s="5">
        <f>ROUND(AVERAGEIF(Agent_Logs_Raw!F2:F401,A5,Agent_Logs_Raw!J2:J401),0)</f>
        <v>3719</v>
      </c>
      <c r="E5" s="5">
        <f>ROUND(AVERAGEIF(Agent_Logs_Raw!F2:F401,A5,Agent_Logs_Raw!K2:K401),2)</f>
        <v>4.08</v>
      </c>
      <c r="F5" s="5">
        <f>COUNTIFS(Agent_Logs_Raw!F2:F401,A5,Agent_Logs_Raw!L2:L401,TRUE())</f>
        <v>13</v>
      </c>
      <c r="G5" s="5">
        <f t="shared" ref="G5:G10" si="0">ROUND(F5/B5*100,1)</f>
        <v>18.3</v>
      </c>
    </row>
    <row r="6" spans="1:7" x14ac:dyDescent="0.2">
      <c r="A6" s="4" t="s">
        <v>10</v>
      </c>
      <c r="B6" s="5">
        <f>COUNTIF(Agent_Logs_Raw!F2:F401,A6)</f>
        <v>70</v>
      </c>
      <c r="C6" s="5">
        <f>ROUND(AVERAGEIF(Agent_Logs_Raw!F2:F401,A6,Agent_Logs_Raw!I2:I401),0)</f>
        <v>1379</v>
      </c>
      <c r="D6" s="5">
        <f>ROUND(AVERAGEIF(Agent_Logs_Raw!F2:F401,A6,Agent_Logs_Raw!J2:J401),0)</f>
        <v>3339</v>
      </c>
      <c r="E6" s="5">
        <f>ROUND(AVERAGEIF(Agent_Logs_Raw!F2:F401,A6,Agent_Logs_Raw!K2:K401),2)</f>
        <v>4.0999999999999996</v>
      </c>
      <c r="F6" s="5">
        <f>COUNTIFS(Agent_Logs_Raw!F2:F401,A6,Agent_Logs_Raw!L2:L401,TRUE())</f>
        <v>0</v>
      </c>
      <c r="G6" s="5">
        <f t="shared" si="0"/>
        <v>0</v>
      </c>
    </row>
    <row r="7" spans="1:7" x14ac:dyDescent="0.2">
      <c r="A7" s="4" t="s">
        <v>11</v>
      </c>
      <c r="B7" s="5">
        <f>COUNTIF(Agent_Logs_Raw!F2:F401,A7)</f>
        <v>64</v>
      </c>
      <c r="C7" s="5">
        <f>ROUND(AVERAGEIF(Agent_Logs_Raw!F2:F401,A7,Agent_Logs_Raw!I2:I401),0)</f>
        <v>1572</v>
      </c>
      <c r="D7" s="5">
        <f>ROUND(AVERAGEIF(Agent_Logs_Raw!F2:F401,A7,Agent_Logs_Raw!J2:J401),0)</f>
        <v>3194</v>
      </c>
      <c r="E7" s="5">
        <f>ROUND(AVERAGEIF(Agent_Logs_Raw!F2:F401,A7,Agent_Logs_Raw!K2:K401),2)</f>
        <v>4.1100000000000003</v>
      </c>
      <c r="F7" s="5">
        <f>COUNTIFS(Agent_Logs_Raw!F2:F401,A7,Agent_Logs_Raw!L2:L401,TRUE())</f>
        <v>0</v>
      </c>
      <c r="G7" s="5">
        <f t="shared" si="0"/>
        <v>0</v>
      </c>
    </row>
    <row r="8" spans="1:7" x14ac:dyDescent="0.2">
      <c r="A8" s="4" t="s">
        <v>12</v>
      </c>
      <c r="B8" s="5">
        <f>COUNTIF(Agent_Logs_Raw!F2:F401,A8)</f>
        <v>62</v>
      </c>
      <c r="C8" s="5">
        <f>ROUND(AVERAGEIF(Agent_Logs_Raw!F2:F401,A8,Agent_Logs_Raw!I2:I401),0)</f>
        <v>1480</v>
      </c>
      <c r="D8" s="5">
        <f>ROUND(AVERAGEIF(Agent_Logs_Raw!F2:F401,A8,Agent_Logs_Raw!J2:J401),0)</f>
        <v>3671</v>
      </c>
      <c r="E8" s="5">
        <f>ROUND(AVERAGEIF(Agent_Logs_Raw!F2:F401,A8,Agent_Logs_Raw!K2:K401),2)</f>
        <v>4.1100000000000003</v>
      </c>
      <c r="F8" s="5">
        <f>COUNTIFS(Agent_Logs_Raw!F2:F401,A8,Agent_Logs_Raw!L2:L401,TRUE())</f>
        <v>0</v>
      </c>
      <c r="G8" s="5">
        <f t="shared" si="0"/>
        <v>0</v>
      </c>
    </row>
    <row r="9" spans="1:7" x14ac:dyDescent="0.2">
      <c r="A9" s="4" t="s">
        <v>13</v>
      </c>
      <c r="B9" s="5">
        <f>COUNTIF(Agent_Logs_Raw!F2:F401,A9)</f>
        <v>62</v>
      </c>
      <c r="C9" s="5">
        <f>ROUND(AVERAGEIF(Agent_Logs_Raw!F2:F401,A9,Agent_Logs_Raw!I2:I401),0)</f>
        <v>1313</v>
      </c>
      <c r="D9" s="5">
        <f>ROUND(AVERAGEIF(Agent_Logs_Raw!F2:F401,A9,Agent_Logs_Raw!J2:J401),0)</f>
        <v>3122</v>
      </c>
      <c r="E9" s="5">
        <f>ROUND(AVERAGEIF(Agent_Logs_Raw!F2:F401,A9,Agent_Logs_Raw!K2:K401),2)</f>
        <v>4.1900000000000004</v>
      </c>
      <c r="F9" s="5">
        <f>COUNTIFS(Agent_Logs_Raw!F2:F401,A9,Agent_Logs_Raw!L2:L401,TRUE())</f>
        <v>0</v>
      </c>
      <c r="G9" s="5">
        <f t="shared" si="0"/>
        <v>0</v>
      </c>
    </row>
    <row r="10" spans="1:7" x14ac:dyDescent="0.2">
      <c r="A10" s="4" t="s">
        <v>14</v>
      </c>
      <c r="B10" s="5">
        <f>COUNTIF(Agent_Logs_Raw!F2:F401,A10)</f>
        <v>71</v>
      </c>
      <c r="C10" s="5">
        <f>ROUND(AVERAGEIF(Agent_Logs_Raw!F2:F401,A10,Agent_Logs_Raw!I2:I401),0)</f>
        <v>1453</v>
      </c>
      <c r="D10" s="5">
        <f>ROUND(AVERAGEIF(Agent_Logs_Raw!F2:F401,A10,Agent_Logs_Raw!J2:J401),0)</f>
        <v>3384</v>
      </c>
      <c r="E10" s="5">
        <f>ROUND(AVERAGEIF(Agent_Logs_Raw!F2:F401,A10,Agent_Logs_Raw!K2:K401),2)</f>
        <v>4.3</v>
      </c>
      <c r="F10" s="5">
        <f>COUNTIFS(Agent_Logs_Raw!F2:F401,A10,Agent_Logs_Raw!L2:L401,TRUE())</f>
        <v>0</v>
      </c>
      <c r="G10" s="5">
        <f t="shared" si="0"/>
        <v>0</v>
      </c>
    </row>
    <row r="13" spans="1:7" x14ac:dyDescent="0.2">
      <c r="A13" s="6" t="s">
        <v>15</v>
      </c>
    </row>
    <row r="14" spans="1:7" x14ac:dyDescent="0.2">
      <c r="A14" s="7" t="s">
        <v>16</v>
      </c>
      <c r="B14" s="7" t="s">
        <v>3</v>
      </c>
      <c r="C14" s="7" t="s">
        <v>4</v>
      </c>
      <c r="D14" s="7" t="s">
        <v>17</v>
      </c>
    </row>
    <row r="15" spans="1:7" x14ac:dyDescent="0.2">
      <c r="A15" s="4" t="s">
        <v>18</v>
      </c>
      <c r="B15" s="5">
        <f>COUNTIF(Agent_Logs_Raw!G2:G401,A15)</f>
        <v>73</v>
      </c>
      <c r="C15" s="5">
        <f>ROUND(AVERAGEIF(Agent_Logs_Raw!G2:G401,A15,Agent_Logs_Raw!I2:I401),0)</f>
        <v>1335</v>
      </c>
      <c r="D15" s="5">
        <f>_xlfn.MAXIFS(Agent_Logs_Raw!I2:I401,Agent_Logs_Raw!G2:G401,A15)</f>
        <v>2681</v>
      </c>
    </row>
    <row r="16" spans="1:7" x14ac:dyDescent="0.2">
      <c r="A16" s="4" t="s">
        <v>19</v>
      </c>
      <c r="B16" s="5">
        <f>COUNTIF(Agent_Logs_Raw!G2:G401,A16)</f>
        <v>47</v>
      </c>
      <c r="C16" s="5">
        <f>ROUND(AVERAGEIF(Agent_Logs_Raw!G2:G401,A16,Agent_Logs_Raw!I2:I401),0)</f>
        <v>1312</v>
      </c>
      <c r="D16" s="5">
        <f>_xlfn.MAXIFS(Agent_Logs_Raw!I2:I401,Agent_Logs_Raw!G2:G401,A16)</f>
        <v>2729</v>
      </c>
    </row>
    <row r="17" spans="1:4" x14ac:dyDescent="0.2">
      <c r="A17" s="4" t="s">
        <v>20</v>
      </c>
      <c r="B17" s="5">
        <f>COUNTIF(Agent_Logs_Raw!G2:G401,A17)</f>
        <v>52</v>
      </c>
      <c r="C17" s="5">
        <f>ROUND(AVERAGEIF(Agent_Logs_Raw!G2:G401,A17,Agent_Logs_Raw!I2:I401),0)</f>
        <v>1509</v>
      </c>
      <c r="D17" s="5">
        <f>_xlfn.MAXIFS(Agent_Logs_Raw!I2:I401,Agent_Logs_Raw!G2:G401,A17)</f>
        <v>3433</v>
      </c>
    </row>
    <row r="18" spans="1:4" x14ac:dyDescent="0.2">
      <c r="A18" s="4" t="s">
        <v>21</v>
      </c>
      <c r="B18" s="5">
        <f>COUNTIF(Agent_Logs_Raw!G2:G401,A18)</f>
        <v>65</v>
      </c>
      <c r="C18" s="5">
        <f>ROUND(AVERAGEIF(Agent_Logs_Raw!G2:G401,A18,Agent_Logs_Raw!I2:I401),0)</f>
        <v>1630</v>
      </c>
      <c r="D18" s="5">
        <f>_xlfn.MAXIFS(Agent_Logs_Raw!I2:I401,Agent_Logs_Raw!G2:G401,A18)</f>
        <v>4166</v>
      </c>
    </row>
    <row r="19" spans="1:4" x14ac:dyDescent="0.2">
      <c r="A19" s="4" t="s">
        <v>22</v>
      </c>
      <c r="B19" s="5">
        <f>COUNTIF(Agent_Logs_Raw!G2:G401,A19)</f>
        <v>58</v>
      </c>
      <c r="C19" s="5">
        <f>ROUND(AVERAGEIF(Agent_Logs_Raw!G2:G401,A19,Agent_Logs_Raw!I2:I401),0)</f>
        <v>1430</v>
      </c>
      <c r="D19" s="5">
        <f>_xlfn.MAXIFS(Agent_Logs_Raw!I2:I401,Agent_Logs_Raw!G2:G401,A19)</f>
        <v>2943</v>
      </c>
    </row>
    <row r="20" spans="1:4" x14ac:dyDescent="0.2">
      <c r="A20" s="4" t="s">
        <v>23</v>
      </c>
      <c r="B20" s="5">
        <f>COUNTIF(Agent_Logs_Raw!G2:G401,A20)</f>
        <v>54</v>
      </c>
      <c r="C20" s="5">
        <f>ROUND(AVERAGEIF(Agent_Logs_Raw!G2:G401,A20,Agent_Logs_Raw!I2:I401),0)</f>
        <v>1403</v>
      </c>
      <c r="D20" s="5">
        <f>_xlfn.MAXIFS(Agent_Logs_Raw!I2:I401,Agent_Logs_Raw!G2:G401,A20)</f>
        <v>2837</v>
      </c>
    </row>
    <row r="21" spans="1:4" x14ac:dyDescent="0.2">
      <c r="A21" s="4" t="s">
        <v>24</v>
      </c>
      <c r="B21" s="5">
        <f>COUNTIF(Agent_Logs_Raw!G2:G401,A21)</f>
        <v>51</v>
      </c>
      <c r="C21" s="5">
        <f>ROUND(AVERAGEIF(Agent_Logs_Raw!G2:G401,A21,Agent_Logs_Raw!I2:I401),0)</f>
        <v>1422</v>
      </c>
      <c r="D21" s="5">
        <f>_xlfn.MAXIFS(Agent_Logs_Raw!I2:I401,Agent_Logs_Raw!G2:G401,A21)</f>
        <v>3498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Normal="100" workbookViewId="0"/>
  </sheetViews>
  <sheetFormatPr baseColWidth="10" defaultColWidth="8.6640625" defaultRowHeight="15" x14ac:dyDescent="0.2"/>
  <cols>
    <col min="1" max="5" width="20" customWidth="1"/>
  </cols>
  <sheetData>
    <row r="1" spans="1:5" ht="18" x14ac:dyDescent="0.2">
      <c r="A1" s="1" t="s">
        <v>25</v>
      </c>
    </row>
    <row r="2" spans="1:5" x14ac:dyDescent="0.2">
      <c r="A2" s="2" t="s">
        <v>26</v>
      </c>
    </row>
    <row r="4" spans="1:5" x14ac:dyDescent="0.2">
      <c r="A4" s="6" t="s">
        <v>27</v>
      </c>
    </row>
    <row r="5" spans="1:5" x14ac:dyDescent="0.2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</row>
    <row r="6" spans="1:5" x14ac:dyDescent="0.2">
      <c r="A6" s="4" t="s">
        <v>33</v>
      </c>
      <c r="B6" s="5">
        <f>COUNTIF(Trials_Raw!C2:C111,A6)</f>
        <v>37</v>
      </c>
      <c r="C6" s="5">
        <f>SUMIF(Trials_Raw!C2:C111,A6,Trials_Raw!J2:J111)</f>
        <v>11661</v>
      </c>
      <c r="D6" s="5">
        <f>SUMIF(Trials_Raw!C2:C111,A6,Trials_Raw!K2:K111)</f>
        <v>8375</v>
      </c>
      <c r="E6" s="5">
        <f>ROUND(D6/C6*100,1)</f>
        <v>71.8</v>
      </c>
    </row>
    <row r="7" spans="1:5" x14ac:dyDescent="0.2">
      <c r="A7" s="4" t="s">
        <v>34</v>
      </c>
      <c r="B7" s="5">
        <f>COUNTIF(Trials_Raw!C2:C111,A7)</f>
        <v>33</v>
      </c>
      <c r="C7" s="5">
        <f>SUMIF(Trials_Raw!C2:C111,A7,Trials_Raw!J2:J111)</f>
        <v>10919</v>
      </c>
      <c r="D7" s="5">
        <f>SUMIF(Trials_Raw!C2:C111,A7,Trials_Raw!K2:K111)</f>
        <v>8231</v>
      </c>
      <c r="E7" s="5">
        <f>ROUND(D7/C7*100,1)</f>
        <v>75.400000000000006</v>
      </c>
    </row>
    <row r="8" spans="1:5" x14ac:dyDescent="0.2">
      <c r="A8" s="4" t="s">
        <v>35</v>
      </c>
      <c r="B8" s="5">
        <f>COUNTIF(Trials_Raw!C2:C111,A8)</f>
        <v>31</v>
      </c>
      <c r="C8" s="5">
        <f>SUMIF(Trials_Raw!C2:C111,A8,Trials_Raw!J2:J111)</f>
        <v>9545</v>
      </c>
      <c r="D8" s="5">
        <f>SUMIF(Trials_Raw!C2:C111,A8,Trials_Raw!K2:K111)</f>
        <v>6283</v>
      </c>
      <c r="E8" s="5">
        <f>ROUND(D8/C8*100,1)</f>
        <v>65.8</v>
      </c>
    </row>
    <row r="9" spans="1:5" x14ac:dyDescent="0.2">
      <c r="A9" s="4" t="s">
        <v>36</v>
      </c>
      <c r="B9" s="5">
        <f>COUNTIF(Trials_Raw!C2:C111,A9)</f>
        <v>9</v>
      </c>
      <c r="C9" s="5">
        <f>SUMIF(Trials_Raw!C2:C111,A9,Trials_Raw!J2:J111)</f>
        <v>2809</v>
      </c>
      <c r="D9" s="5">
        <f>SUMIF(Trials_Raw!C2:C111,A9,Trials_Raw!K2:K111)</f>
        <v>2393</v>
      </c>
      <c r="E9" s="5">
        <f>ROUND(D9/C9*100,1)</f>
        <v>85.2</v>
      </c>
    </row>
    <row r="12" spans="1:5" x14ac:dyDescent="0.2">
      <c r="A12" s="6" t="s">
        <v>37</v>
      </c>
    </row>
    <row r="13" spans="1:5" x14ac:dyDescent="0.2">
      <c r="A13" s="7" t="s">
        <v>38</v>
      </c>
      <c r="B13" s="7" t="s">
        <v>29</v>
      </c>
    </row>
    <row r="14" spans="1:5" x14ac:dyDescent="0.2">
      <c r="A14" s="4" t="s">
        <v>39</v>
      </c>
      <c r="B14" s="5">
        <f>COUNTIF(Trials_Raw!I2:I111,A14)</f>
        <v>29</v>
      </c>
    </row>
    <row r="15" spans="1:5" x14ac:dyDescent="0.2">
      <c r="A15" s="4" t="s">
        <v>40</v>
      </c>
      <c r="B15" s="5">
        <f>COUNTIF(Trials_Raw!I2:I111,A15)</f>
        <v>39</v>
      </c>
    </row>
    <row r="16" spans="1:5" x14ac:dyDescent="0.2">
      <c r="A16" s="4" t="s">
        <v>41</v>
      </c>
      <c r="B16" s="5">
        <f>COUNTIF(Trials_Raw!I2:I111,A16)</f>
        <v>27</v>
      </c>
    </row>
    <row r="17" spans="1:4" x14ac:dyDescent="0.2">
      <c r="A17" s="4" t="s">
        <v>42</v>
      </c>
      <c r="B17" s="5">
        <f>COUNTIF(Trials_Raw!I2:I111,A17)</f>
        <v>6</v>
      </c>
    </row>
    <row r="18" spans="1:4" x14ac:dyDescent="0.2">
      <c r="A18" s="4" t="s">
        <v>43</v>
      </c>
      <c r="B18" s="5">
        <f>COUNTIF(Trials_Raw!I2:I111,A18)</f>
        <v>9</v>
      </c>
    </row>
    <row r="21" spans="1:4" x14ac:dyDescent="0.2">
      <c r="A21" s="6" t="s">
        <v>44</v>
      </c>
    </row>
    <row r="22" spans="1:4" x14ac:dyDescent="0.2">
      <c r="A22" s="7" t="s">
        <v>45</v>
      </c>
      <c r="B22" s="7" t="s">
        <v>46</v>
      </c>
      <c r="C22" s="7" t="s">
        <v>47</v>
      </c>
    </row>
    <row r="23" spans="1:4" x14ac:dyDescent="0.2">
      <c r="A23" s="4" t="s">
        <v>48</v>
      </c>
      <c r="B23" s="5">
        <f>COUNTIF(AE_Raw!F2:F501,A23)</f>
        <v>0</v>
      </c>
      <c r="C23" s="5">
        <f>COUNTIFS(AE_Raw!F2:F501,A23,AE_Raw!G2:G501,"Serious")</f>
        <v>0</v>
      </c>
    </row>
    <row r="24" spans="1:4" x14ac:dyDescent="0.2">
      <c r="A24" s="4" t="s">
        <v>49</v>
      </c>
      <c r="B24" s="5">
        <f>COUNTIF(AE_Raw!F2:F501,A24)</f>
        <v>0</v>
      </c>
      <c r="C24" s="5">
        <f>COUNTIFS(AE_Raw!F2:F501,A24,AE_Raw!G2:G501,"Serious")</f>
        <v>0</v>
      </c>
    </row>
    <row r="25" spans="1:4" x14ac:dyDescent="0.2">
      <c r="A25" s="4" t="s">
        <v>50</v>
      </c>
      <c r="B25" s="5">
        <f>COUNTIF(AE_Raw!F2:F501,A25)</f>
        <v>0</v>
      </c>
      <c r="C25" s="5">
        <f>COUNTIFS(AE_Raw!F2:F501,A25,AE_Raw!G2:G501,"Serious")</f>
        <v>0</v>
      </c>
    </row>
    <row r="28" spans="1:4" x14ac:dyDescent="0.2">
      <c r="A28" s="6" t="s">
        <v>51</v>
      </c>
    </row>
    <row r="29" spans="1:4" x14ac:dyDescent="0.2">
      <c r="A29" s="7" t="s">
        <v>52</v>
      </c>
      <c r="B29" s="7" t="s">
        <v>53</v>
      </c>
      <c r="C29" s="7" t="s">
        <v>54</v>
      </c>
      <c r="D29" s="7" t="s">
        <v>55</v>
      </c>
    </row>
    <row r="30" spans="1:4" x14ac:dyDescent="0.2">
      <c r="A30" s="4" t="s">
        <v>56</v>
      </c>
      <c r="B30" s="5">
        <f>COUNTIF(Sites_Raw!C2:C376,A30)</f>
        <v>0</v>
      </c>
      <c r="C30" s="5">
        <f>SUMIF(Sites_Raw!C2:C376,A30,Sites_Raw!F2:F376)</f>
        <v>0</v>
      </c>
      <c r="D30" s="5">
        <f>COUNTIFS(Sites_Raw!C2:C376,A30,Sites_Raw!G2:G376,"Active")</f>
        <v>0</v>
      </c>
    </row>
    <row r="31" spans="1:4" x14ac:dyDescent="0.2">
      <c r="A31" s="4" t="s">
        <v>57</v>
      </c>
      <c r="B31" s="5">
        <f>COUNTIF(Sites_Raw!C2:C376,A31)</f>
        <v>0</v>
      </c>
      <c r="C31" s="5">
        <f>SUMIF(Sites_Raw!C2:C376,A31,Sites_Raw!F2:F376)</f>
        <v>0</v>
      </c>
      <c r="D31" s="5">
        <f>COUNTIFS(Sites_Raw!C2:C376,A31,Sites_Raw!G2:G376,"Active")</f>
        <v>0</v>
      </c>
    </row>
    <row r="32" spans="1:4" x14ac:dyDescent="0.2">
      <c r="A32" s="4" t="s">
        <v>58</v>
      </c>
      <c r="B32" s="5">
        <f>COUNTIF(Sites_Raw!C2:C376,A32)</f>
        <v>0</v>
      </c>
      <c r="C32" s="5">
        <f>SUMIF(Sites_Raw!C2:C376,A32,Sites_Raw!F2:F376)</f>
        <v>0</v>
      </c>
      <c r="D32" s="5">
        <f>COUNTIFS(Sites_Raw!C2:C376,A32,Sites_Raw!G2:G376,"Active")</f>
        <v>0</v>
      </c>
    </row>
    <row r="33" spans="1:4" x14ac:dyDescent="0.2">
      <c r="A33" s="4" t="s">
        <v>59</v>
      </c>
      <c r="B33" s="5">
        <f>COUNTIF(Sites_Raw!C2:C376,A33)</f>
        <v>0</v>
      </c>
      <c r="C33" s="5">
        <f>SUMIF(Sites_Raw!C2:C376,A33,Sites_Raw!F2:F376)</f>
        <v>0</v>
      </c>
      <c r="D33" s="5">
        <f>COUNTIFS(Sites_Raw!C2:C376,A33,Sites_Raw!G2:G376,"Active")</f>
        <v>0</v>
      </c>
    </row>
    <row r="34" spans="1:4" x14ac:dyDescent="0.2">
      <c r="A34" s="4" t="s">
        <v>60</v>
      </c>
      <c r="B34" s="5">
        <f>COUNTIF(Sites_Raw!C2:C376,A34)</f>
        <v>0</v>
      </c>
      <c r="C34" s="5">
        <f>SUMIF(Sites_Raw!C2:C376,A34,Sites_Raw!F2:F376)</f>
        <v>0</v>
      </c>
      <c r="D34" s="5">
        <f>COUNTIFS(Sites_Raw!C2:C376,A34,Sites_Raw!G2:G376,"Active")</f>
        <v>0</v>
      </c>
    </row>
    <row r="35" spans="1:4" x14ac:dyDescent="0.2">
      <c r="A35" s="4" t="s">
        <v>61</v>
      </c>
      <c r="B35" s="5">
        <f>COUNTIF(Sites_Raw!C2:C376,A35)</f>
        <v>0</v>
      </c>
      <c r="C35" s="5">
        <f>SUMIF(Sites_Raw!C2:C376,A35,Sites_Raw!F2:F376)</f>
        <v>0</v>
      </c>
      <c r="D35" s="5">
        <f>COUNTIFS(Sites_Raw!C2:C376,A35,Sites_Raw!G2:G376,"Active")</f>
        <v>0</v>
      </c>
    </row>
    <row r="36" spans="1:4" x14ac:dyDescent="0.2">
      <c r="A36" s="4" t="s">
        <v>62</v>
      </c>
      <c r="B36" s="5">
        <f>COUNTIF(Sites_Raw!C2:C376,A36)</f>
        <v>0</v>
      </c>
      <c r="C36" s="5">
        <f>SUMIF(Sites_Raw!C2:C376,A36,Sites_Raw!F2:F376)</f>
        <v>0</v>
      </c>
      <c r="D36" s="5">
        <f>COUNTIFS(Sites_Raw!C2:C376,A36,Sites_Raw!G2:G376,"Active")</f>
        <v>0</v>
      </c>
    </row>
    <row r="37" spans="1:4" x14ac:dyDescent="0.2">
      <c r="A37" s="4" t="s">
        <v>63</v>
      </c>
      <c r="B37" s="5">
        <f>COUNTIF(Sites_Raw!C2:C376,A37)</f>
        <v>0</v>
      </c>
      <c r="C37" s="5">
        <f>SUMIF(Sites_Raw!C2:C376,A37,Sites_Raw!F2:F376)</f>
        <v>0</v>
      </c>
      <c r="D37" s="5">
        <f>COUNTIFS(Sites_Raw!C2:C376,A37,Sites_Raw!G2:G376,"Active")</f>
        <v>0</v>
      </c>
    </row>
    <row r="38" spans="1:4" x14ac:dyDescent="0.2">
      <c r="A38" s="4" t="s">
        <v>64</v>
      </c>
      <c r="B38" s="5">
        <f>COUNTIF(Sites_Raw!C2:C376,A38)</f>
        <v>0</v>
      </c>
      <c r="C38" s="5">
        <f>SUMIF(Sites_Raw!C2:C376,A38,Sites_Raw!F2:F376)</f>
        <v>0</v>
      </c>
      <c r="D38" s="5">
        <f>COUNTIFS(Sites_Raw!C2:C376,A38,Sites_Raw!G2:G376,"Active")</f>
        <v>0</v>
      </c>
    </row>
    <row r="39" spans="1:4" x14ac:dyDescent="0.2">
      <c r="A39" s="4" t="s">
        <v>65</v>
      </c>
      <c r="B39" s="5">
        <f>COUNTIF(Sites_Raw!C2:C376,A39)</f>
        <v>0</v>
      </c>
      <c r="C39" s="5">
        <f>SUMIF(Sites_Raw!C2:C376,A39,Sites_Raw!F2:F376)</f>
        <v>0</v>
      </c>
      <c r="D39" s="5">
        <f>COUNTIFS(Sites_Raw!C2:C376,A39,Sites_Raw!G2:G376,"Active")</f>
        <v>0</v>
      </c>
    </row>
    <row r="42" spans="1:4" x14ac:dyDescent="0.2">
      <c r="A42" s="6" t="s">
        <v>66</v>
      </c>
    </row>
    <row r="43" spans="1:4" x14ac:dyDescent="0.2">
      <c r="A43" s="7" t="s">
        <v>67</v>
      </c>
      <c r="B43" s="7" t="s">
        <v>46</v>
      </c>
    </row>
    <row r="44" spans="1:4" x14ac:dyDescent="0.2">
      <c r="A44" s="4" t="s">
        <v>68</v>
      </c>
      <c r="B44" s="5">
        <f>COUNTIFS(AE_Raw!F2:F501,"Severe",AE_Raw!G2:G501,"Serious",AE_Raw!J2:J501,A44)</f>
        <v>0</v>
      </c>
    </row>
    <row r="45" spans="1:4" x14ac:dyDescent="0.2">
      <c r="A45" s="4" t="s">
        <v>69</v>
      </c>
      <c r="B45" s="5">
        <f>COUNTIFS(AE_Raw!F2:F501,"Severe",AE_Raw!G2:G501,"Serious",AE_Raw!J2:J501,A45)</f>
        <v>0</v>
      </c>
    </row>
    <row r="46" spans="1:4" x14ac:dyDescent="0.2">
      <c r="A46" s="4" t="s">
        <v>70</v>
      </c>
      <c r="B46" s="5">
        <f>COUNTIFS(AE_Raw!F2:F501,"Severe",AE_Raw!G2:G501,"Serious",AE_Raw!J2:J501,A46)</f>
        <v>0</v>
      </c>
    </row>
    <row r="47" spans="1:4" x14ac:dyDescent="0.2">
      <c r="A47" s="4" t="s">
        <v>71</v>
      </c>
      <c r="B47" s="5">
        <f>COUNTIFS(AE_Raw!F2:F501,"Severe",AE_Raw!G2:G501,"Serious",AE_Raw!J2:J501,A47)</f>
        <v>0</v>
      </c>
    </row>
    <row r="48" spans="1:4" x14ac:dyDescent="0.2">
      <c r="A48" s="4" t="s">
        <v>72</v>
      </c>
      <c r="B48" s="5">
        <f>COUNTIFS(AE_Raw!F2:F501,"Severe",AE_Raw!G2:G501,"Serious",AE_Raw!J2:J501,A48)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1" customWidth="1"/>
    <col min="2" max="2" width="12" customWidth="1"/>
    <col min="3" max="3" width="21" customWidth="1"/>
    <col min="4" max="4" width="31" customWidth="1"/>
    <col min="5" max="5" width="40" customWidth="1"/>
    <col min="6" max="6" width="38" customWidth="1"/>
    <col min="7" max="7" width="29" customWidth="1"/>
    <col min="8" max="8" width="40" customWidth="1"/>
    <col min="9" max="9" width="12" customWidth="1"/>
    <col min="10" max="10" width="13" customWidth="1"/>
    <col min="11" max="11" width="17" customWidth="1"/>
    <col min="12" max="12" width="16" customWidth="1"/>
  </cols>
  <sheetData>
    <row r="1" spans="1:12" x14ac:dyDescent="0.2">
      <c r="A1" s="8" t="s">
        <v>73</v>
      </c>
      <c r="B1" s="8" t="s">
        <v>74</v>
      </c>
      <c r="C1" s="8" t="s">
        <v>75</v>
      </c>
      <c r="D1" s="8" t="s">
        <v>76</v>
      </c>
      <c r="E1" s="8" t="s">
        <v>77</v>
      </c>
      <c r="F1" s="8" t="s">
        <v>78</v>
      </c>
      <c r="G1" s="8" t="s">
        <v>79</v>
      </c>
      <c r="H1" s="8" t="s">
        <v>80</v>
      </c>
      <c r="I1" s="8" t="s">
        <v>81</v>
      </c>
      <c r="J1" s="8" t="s">
        <v>82</v>
      </c>
      <c r="K1" s="8" t="s">
        <v>83</v>
      </c>
      <c r="L1" s="8" t="s">
        <v>84</v>
      </c>
    </row>
    <row r="2" spans="1:12" x14ac:dyDescent="0.2">
      <c r="A2" s="4" t="s">
        <v>85</v>
      </c>
      <c r="B2" s="4" t="s">
        <v>86</v>
      </c>
      <c r="C2" s="4" t="s">
        <v>87</v>
      </c>
      <c r="D2" s="4" t="s">
        <v>88</v>
      </c>
      <c r="E2" s="4" t="s">
        <v>89</v>
      </c>
      <c r="F2" s="4" t="s">
        <v>9</v>
      </c>
      <c r="G2" s="4" t="s">
        <v>24</v>
      </c>
      <c r="H2" s="4" t="s">
        <v>90</v>
      </c>
      <c r="I2" s="4">
        <v>1210</v>
      </c>
      <c r="J2" s="4">
        <v>2270</v>
      </c>
      <c r="K2" s="4">
        <v>4</v>
      </c>
      <c r="L2" s="4" t="b">
        <f>FALSE()</f>
        <v>0</v>
      </c>
    </row>
    <row r="3" spans="1:12" x14ac:dyDescent="0.2">
      <c r="A3" s="4" t="s">
        <v>91</v>
      </c>
      <c r="B3" s="4" t="s">
        <v>92</v>
      </c>
      <c r="C3" s="4" t="s">
        <v>93</v>
      </c>
      <c r="D3" s="4" t="s">
        <v>94</v>
      </c>
      <c r="E3" s="4" t="s">
        <v>95</v>
      </c>
      <c r="F3" s="4" t="s">
        <v>9</v>
      </c>
      <c r="G3" s="4" t="s">
        <v>18</v>
      </c>
      <c r="H3" s="4" t="s">
        <v>96</v>
      </c>
      <c r="I3" s="4">
        <v>885</v>
      </c>
      <c r="J3" s="4">
        <v>5260</v>
      </c>
      <c r="K3" s="4">
        <v>5</v>
      </c>
      <c r="L3" s="4" t="b">
        <f>TRUE()</f>
        <v>1</v>
      </c>
    </row>
    <row r="4" spans="1:12" x14ac:dyDescent="0.2">
      <c r="A4" s="4" t="s">
        <v>97</v>
      </c>
      <c r="B4" s="4" t="s">
        <v>98</v>
      </c>
      <c r="C4" s="4" t="s">
        <v>99</v>
      </c>
      <c r="D4" s="4" t="s">
        <v>100</v>
      </c>
      <c r="E4" s="4" t="s">
        <v>101</v>
      </c>
      <c r="F4" s="4" t="s">
        <v>14</v>
      </c>
      <c r="G4" s="4" t="s">
        <v>18</v>
      </c>
      <c r="H4" s="4" t="s">
        <v>102</v>
      </c>
      <c r="I4" s="4">
        <v>730</v>
      </c>
      <c r="J4" s="4">
        <v>3687</v>
      </c>
      <c r="K4" s="4">
        <v>4</v>
      </c>
      <c r="L4" s="4" t="b">
        <f>FALSE()</f>
        <v>0</v>
      </c>
    </row>
    <row r="5" spans="1:12" x14ac:dyDescent="0.2">
      <c r="A5" s="4" t="s">
        <v>103</v>
      </c>
      <c r="B5" s="4" t="s">
        <v>104</v>
      </c>
      <c r="C5" s="4" t="s">
        <v>105</v>
      </c>
      <c r="D5" s="4" t="s">
        <v>94</v>
      </c>
      <c r="E5" s="4" t="s">
        <v>106</v>
      </c>
      <c r="F5" s="4" t="s">
        <v>10</v>
      </c>
      <c r="G5" s="4" t="s">
        <v>19</v>
      </c>
      <c r="H5" s="4" t="s">
        <v>107</v>
      </c>
      <c r="I5" s="4">
        <v>970</v>
      </c>
      <c r="J5" s="4">
        <v>5626</v>
      </c>
      <c r="K5" s="4">
        <v>5</v>
      </c>
      <c r="L5" s="4" t="b">
        <f>FALSE()</f>
        <v>0</v>
      </c>
    </row>
    <row r="6" spans="1:12" x14ac:dyDescent="0.2">
      <c r="A6" s="4" t="s">
        <v>108</v>
      </c>
      <c r="B6" s="4" t="s">
        <v>109</v>
      </c>
      <c r="C6" s="4" t="s">
        <v>110</v>
      </c>
      <c r="D6" s="4" t="s">
        <v>111</v>
      </c>
      <c r="E6" s="4" t="s">
        <v>112</v>
      </c>
      <c r="F6" s="4" t="s">
        <v>12</v>
      </c>
      <c r="G6" s="4" t="s">
        <v>24</v>
      </c>
      <c r="H6" s="4" t="s">
        <v>107</v>
      </c>
      <c r="I6" s="4">
        <v>1360</v>
      </c>
      <c r="J6" s="4">
        <v>5522</v>
      </c>
      <c r="K6" s="4">
        <v>3</v>
      </c>
      <c r="L6" s="4" t="b">
        <f>FALSE()</f>
        <v>0</v>
      </c>
    </row>
    <row r="7" spans="1:12" x14ac:dyDescent="0.2">
      <c r="A7" s="4" t="s">
        <v>113</v>
      </c>
      <c r="B7" s="4" t="s">
        <v>114</v>
      </c>
      <c r="C7" s="4" t="s">
        <v>115</v>
      </c>
      <c r="D7" s="4" t="s">
        <v>88</v>
      </c>
      <c r="E7" s="4" t="s">
        <v>116</v>
      </c>
      <c r="F7" s="4" t="s">
        <v>10</v>
      </c>
      <c r="G7" s="4" t="s">
        <v>18</v>
      </c>
      <c r="H7" s="4" t="s">
        <v>107</v>
      </c>
      <c r="I7" s="4">
        <v>906</v>
      </c>
      <c r="J7" s="4">
        <v>779</v>
      </c>
      <c r="K7" s="4">
        <v>3</v>
      </c>
      <c r="L7" s="4" t="b">
        <f>FALSE()</f>
        <v>0</v>
      </c>
    </row>
    <row r="8" spans="1:12" x14ac:dyDescent="0.2">
      <c r="A8" s="4" t="s">
        <v>117</v>
      </c>
      <c r="B8" s="4" t="s">
        <v>118</v>
      </c>
      <c r="C8" s="4" t="s">
        <v>119</v>
      </c>
      <c r="D8" s="4" t="s">
        <v>94</v>
      </c>
      <c r="E8" s="4" t="s">
        <v>120</v>
      </c>
      <c r="F8" s="4" t="s">
        <v>14</v>
      </c>
      <c r="G8" s="4" t="s">
        <v>19</v>
      </c>
      <c r="H8" s="4" t="s">
        <v>107</v>
      </c>
      <c r="I8" s="4">
        <v>1018</v>
      </c>
      <c r="J8" s="4">
        <v>3402</v>
      </c>
      <c r="K8" s="4">
        <v>4</v>
      </c>
      <c r="L8" s="4" t="b">
        <f>FALSE()</f>
        <v>0</v>
      </c>
    </row>
    <row r="9" spans="1:12" x14ac:dyDescent="0.2">
      <c r="A9" s="4" t="s">
        <v>121</v>
      </c>
      <c r="B9" s="4" t="s">
        <v>122</v>
      </c>
      <c r="C9" s="4" t="s">
        <v>123</v>
      </c>
      <c r="D9" s="4" t="s">
        <v>100</v>
      </c>
      <c r="E9" s="4" t="s">
        <v>124</v>
      </c>
      <c r="F9" s="4" t="s">
        <v>12</v>
      </c>
      <c r="G9" s="4" t="s">
        <v>23</v>
      </c>
      <c r="H9" s="4" t="s">
        <v>125</v>
      </c>
      <c r="I9" s="4">
        <v>1420</v>
      </c>
      <c r="J9" s="4">
        <v>4995</v>
      </c>
      <c r="K9" s="4">
        <v>3</v>
      </c>
      <c r="L9" s="4" t="b">
        <f>FALSE()</f>
        <v>0</v>
      </c>
    </row>
    <row r="10" spans="1:12" x14ac:dyDescent="0.2">
      <c r="A10" s="4" t="s">
        <v>126</v>
      </c>
      <c r="B10" s="4" t="s">
        <v>127</v>
      </c>
      <c r="C10" s="4" t="s">
        <v>128</v>
      </c>
      <c r="D10" s="4" t="s">
        <v>88</v>
      </c>
      <c r="E10" s="4" t="s">
        <v>129</v>
      </c>
      <c r="F10" s="4" t="s">
        <v>11</v>
      </c>
      <c r="G10" s="4" t="s">
        <v>21</v>
      </c>
      <c r="H10" s="4" t="s">
        <v>90</v>
      </c>
      <c r="I10" s="4">
        <v>1467</v>
      </c>
      <c r="J10" s="4">
        <v>4764</v>
      </c>
      <c r="K10" s="4">
        <v>5</v>
      </c>
      <c r="L10" s="4" t="b">
        <f>FALSE()</f>
        <v>0</v>
      </c>
    </row>
    <row r="11" spans="1:12" x14ac:dyDescent="0.2">
      <c r="A11" s="4" t="s">
        <v>130</v>
      </c>
      <c r="B11" s="4" t="s">
        <v>131</v>
      </c>
      <c r="C11" s="4" t="s">
        <v>132</v>
      </c>
      <c r="D11" s="4" t="s">
        <v>133</v>
      </c>
      <c r="E11" s="4" t="s">
        <v>95</v>
      </c>
      <c r="F11" s="4" t="s">
        <v>13</v>
      </c>
      <c r="G11" s="4" t="s">
        <v>24</v>
      </c>
      <c r="H11" s="4" t="s">
        <v>102</v>
      </c>
      <c r="I11" s="4">
        <v>2262</v>
      </c>
      <c r="J11" s="4">
        <v>4502</v>
      </c>
      <c r="K11" s="4">
        <v>4</v>
      </c>
      <c r="L11" s="4" t="b">
        <f>FALSE()</f>
        <v>0</v>
      </c>
    </row>
    <row r="12" spans="1:12" x14ac:dyDescent="0.2">
      <c r="A12" s="4" t="s">
        <v>134</v>
      </c>
      <c r="B12" s="4" t="s">
        <v>135</v>
      </c>
      <c r="C12" s="4" t="s">
        <v>136</v>
      </c>
      <c r="D12" s="4" t="s">
        <v>137</v>
      </c>
      <c r="E12" s="4" t="s">
        <v>138</v>
      </c>
      <c r="F12" s="4" t="s">
        <v>12</v>
      </c>
      <c r="G12" s="4" t="s">
        <v>18</v>
      </c>
      <c r="H12" s="4" t="s">
        <v>96</v>
      </c>
      <c r="I12" s="4">
        <v>2092</v>
      </c>
      <c r="J12" s="4">
        <v>4712</v>
      </c>
      <c r="K12" s="4">
        <v>5</v>
      </c>
      <c r="L12" s="4" t="b">
        <f>FALSE()</f>
        <v>0</v>
      </c>
    </row>
    <row r="13" spans="1:12" x14ac:dyDescent="0.2">
      <c r="A13" s="4" t="s">
        <v>139</v>
      </c>
      <c r="B13" s="4" t="s">
        <v>140</v>
      </c>
      <c r="C13" s="4" t="s">
        <v>141</v>
      </c>
      <c r="D13" s="4" t="s">
        <v>94</v>
      </c>
      <c r="E13" s="4" t="s">
        <v>142</v>
      </c>
      <c r="F13" s="4" t="s">
        <v>14</v>
      </c>
      <c r="G13" s="4" t="s">
        <v>24</v>
      </c>
      <c r="H13" s="4" t="s">
        <v>125</v>
      </c>
      <c r="I13" s="4">
        <v>1791</v>
      </c>
      <c r="J13" s="4">
        <v>4112</v>
      </c>
      <c r="K13" s="4">
        <v>4</v>
      </c>
      <c r="L13" s="4" t="b">
        <f>FALSE()</f>
        <v>0</v>
      </c>
    </row>
    <row r="14" spans="1:12" x14ac:dyDescent="0.2">
      <c r="A14" s="4" t="s">
        <v>143</v>
      </c>
      <c r="B14" s="4" t="s">
        <v>144</v>
      </c>
      <c r="C14" s="4" t="s">
        <v>145</v>
      </c>
      <c r="D14" s="4" t="s">
        <v>111</v>
      </c>
      <c r="E14" s="4" t="s">
        <v>112</v>
      </c>
      <c r="F14" s="4" t="s">
        <v>12</v>
      </c>
      <c r="G14" s="4" t="s">
        <v>20</v>
      </c>
      <c r="H14" s="4" t="s">
        <v>125</v>
      </c>
      <c r="I14" s="4">
        <v>1079</v>
      </c>
      <c r="J14" s="4">
        <v>6431</v>
      </c>
      <c r="K14" s="4">
        <v>2</v>
      </c>
      <c r="L14" s="4" t="b">
        <f>FALSE()</f>
        <v>0</v>
      </c>
    </row>
    <row r="15" spans="1:12" x14ac:dyDescent="0.2">
      <c r="A15" s="4" t="s">
        <v>146</v>
      </c>
      <c r="B15" s="4" t="s">
        <v>147</v>
      </c>
      <c r="C15" s="4" t="s">
        <v>148</v>
      </c>
      <c r="D15" s="4" t="s">
        <v>137</v>
      </c>
      <c r="E15" s="4" t="s">
        <v>149</v>
      </c>
      <c r="F15" s="4" t="s">
        <v>13</v>
      </c>
      <c r="G15" s="4" t="s">
        <v>24</v>
      </c>
      <c r="H15" s="4" t="s">
        <v>150</v>
      </c>
      <c r="I15" s="4">
        <v>828</v>
      </c>
      <c r="J15" s="4">
        <v>3809</v>
      </c>
      <c r="K15" s="4">
        <v>4</v>
      </c>
      <c r="L15" s="4" t="b">
        <f>FALSE()</f>
        <v>0</v>
      </c>
    </row>
    <row r="16" spans="1:12" x14ac:dyDescent="0.2">
      <c r="A16" s="4" t="s">
        <v>151</v>
      </c>
      <c r="B16" s="4" t="s">
        <v>152</v>
      </c>
      <c r="C16" s="4" t="s">
        <v>153</v>
      </c>
      <c r="D16" s="4" t="s">
        <v>111</v>
      </c>
      <c r="E16" s="4" t="s">
        <v>154</v>
      </c>
      <c r="F16" s="4" t="s">
        <v>13</v>
      </c>
      <c r="G16" s="4" t="s">
        <v>20</v>
      </c>
      <c r="H16" s="4" t="s">
        <v>107</v>
      </c>
      <c r="I16" s="4">
        <v>783</v>
      </c>
      <c r="J16" s="4">
        <v>3595</v>
      </c>
      <c r="K16" s="4">
        <v>5</v>
      </c>
      <c r="L16" s="4" t="b">
        <f>FALSE()</f>
        <v>0</v>
      </c>
    </row>
    <row r="17" spans="1:12" x14ac:dyDescent="0.2">
      <c r="A17" s="4" t="s">
        <v>155</v>
      </c>
      <c r="B17" s="4" t="s">
        <v>156</v>
      </c>
      <c r="C17" s="4" t="s">
        <v>157</v>
      </c>
      <c r="D17" s="4" t="s">
        <v>100</v>
      </c>
      <c r="E17" s="4" t="s">
        <v>158</v>
      </c>
      <c r="F17" s="4" t="s">
        <v>10</v>
      </c>
      <c r="G17" s="4" t="s">
        <v>21</v>
      </c>
      <c r="H17" s="4" t="s">
        <v>102</v>
      </c>
      <c r="I17" s="4">
        <v>2182</v>
      </c>
      <c r="J17" s="4">
        <v>4429</v>
      </c>
      <c r="K17" s="4">
        <v>5</v>
      </c>
      <c r="L17" s="4" t="b">
        <f>FALSE()</f>
        <v>0</v>
      </c>
    </row>
    <row r="18" spans="1:12" x14ac:dyDescent="0.2">
      <c r="A18" s="4" t="s">
        <v>159</v>
      </c>
      <c r="B18" s="4" t="s">
        <v>160</v>
      </c>
      <c r="C18" s="4" t="s">
        <v>161</v>
      </c>
      <c r="D18" s="4" t="s">
        <v>111</v>
      </c>
      <c r="E18" s="4" t="s">
        <v>162</v>
      </c>
      <c r="F18" s="4" t="s">
        <v>14</v>
      </c>
      <c r="G18" s="4" t="s">
        <v>23</v>
      </c>
      <c r="H18" s="4" t="s">
        <v>107</v>
      </c>
      <c r="I18" s="4">
        <v>1219</v>
      </c>
      <c r="J18" s="4">
        <v>4959</v>
      </c>
      <c r="K18" s="4">
        <v>5</v>
      </c>
      <c r="L18" s="4" t="b">
        <f>FALSE()</f>
        <v>0</v>
      </c>
    </row>
    <row r="19" spans="1:12" x14ac:dyDescent="0.2">
      <c r="A19" s="4" t="s">
        <v>163</v>
      </c>
      <c r="B19" s="4" t="s">
        <v>164</v>
      </c>
      <c r="C19" s="4" t="s">
        <v>165</v>
      </c>
      <c r="D19" s="4" t="s">
        <v>133</v>
      </c>
      <c r="E19" s="4" t="s">
        <v>166</v>
      </c>
      <c r="F19" s="4" t="s">
        <v>12</v>
      </c>
      <c r="G19" s="4" t="s">
        <v>18</v>
      </c>
      <c r="H19" s="4" t="s">
        <v>90</v>
      </c>
      <c r="I19" s="4">
        <v>1732</v>
      </c>
      <c r="J19" s="4">
        <v>2149</v>
      </c>
      <c r="K19" s="4">
        <v>2</v>
      </c>
      <c r="L19" s="4" t="b">
        <f>FALSE()</f>
        <v>0</v>
      </c>
    </row>
    <row r="20" spans="1:12" x14ac:dyDescent="0.2">
      <c r="A20" s="4" t="s">
        <v>167</v>
      </c>
      <c r="B20" s="4" t="s">
        <v>168</v>
      </c>
      <c r="C20" s="4" t="s">
        <v>169</v>
      </c>
      <c r="D20" s="4" t="s">
        <v>137</v>
      </c>
      <c r="E20" s="4" t="s">
        <v>170</v>
      </c>
      <c r="F20" s="4" t="s">
        <v>11</v>
      </c>
      <c r="G20" s="4" t="s">
        <v>21</v>
      </c>
      <c r="H20" s="4" t="s">
        <v>150</v>
      </c>
      <c r="I20" s="4">
        <v>1467</v>
      </c>
      <c r="J20" s="4">
        <v>6273</v>
      </c>
      <c r="K20" s="4">
        <v>5</v>
      </c>
      <c r="L20" s="4" t="b">
        <f>FALSE()</f>
        <v>0</v>
      </c>
    </row>
    <row r="21" spans="1:12" x14ac:dyDescent="0.2">
      <c r="A21" s="4" t="s">
        <v>171</v>
      </c>
      <c r="B21" s="4" t="s">
        <v>172</v>
      </c>
      <c r="C21" s="4" t="s">
        <v>173</v>
      </c>
      <c r="D21" s="4" t="s">
        <v>88</v>
      </c>
      <c r="E21" s="4" t="s">
        <v>174</v>
      </c>
      <c r="F21" s="4" t="s">
        <v>11</v>
      </c>
      <c r="G21" s="4" t="s">
        <v>18</v>
      </c>
      <c r="H21" s="4" t="s">
        <v>96</v>
      </c>
      <c r="I21" s="4">
        <v>1034</v>
      </c>
      <c r="J21" s="4">
        <v>5366</v>
      </c>
      <c r="K21" s="4">
        <v>5</v>
      </c>
      <c r="L21" s="4" t="b">
        <f>FALSE()</f>
        <v>0</v>
      </c>
    </row>
    <row r="22" spans="1:12" x14ac:dyDescent="0.2">
      <c r="A22" s="4" t="s">
        <v>175</v>
      </c>
      <c r="B22" s="4" t="s">
        <v>176</v>
      </c>
      <c r="C22" s="4" t="s">
        <v>177</v>
      </c>
      <c r="D22" s="4" t="s">
        <v>133</v>
      </c>
      <c r="E22" s="4" t="s">
        <v>178</v>
      </c>
      <c r="F22" s="4" t="s">
        <v>9</v>
      </c>
      <c r="G22" s="4" t="s">
        <v>22</v>
      </c>
      <c r="H22" s="4" t="s">
        <v>107</v>
      </c>
      <c r="I22" s="4">
        <v>1802</v>
      </c>
      <c r="J22" s="4">
        <v>6290</v>
      </c>
      <c r="K22" s="4">
        <v>5</v>
      </c>
      <c r="L22" s="4" t="b">
        <f>FALSE()</f>
        <v>0</v>
      </c>
    </row>
    <row r="23" spans="1:12" x14ac:dyDescent="0.2">
      <c r="A23" s="4" t="s">
        <v>179</v>
      </c>
      <c r="B23" s="4" t="s">
        <v>180</v>
      </c>
      <c r="C23" s="4" t="s">
        <v>181</v>
      </c>
      <c r="D23" s="4" t="s">
        <v>137</v>
      </c>
      <c r="E23" s="4" t="s">
        <v>182</v>
      </c>
      <c r="F23" s="4" t="s">
        <v>9</v>
      </c>
      <c r="G23" s="4" t="s">
        <v>23</v>
      </c>
      <c r="H23" s="4" t="s">
        <v>150</v>
      </c>
      <c r="I23" s="4">
        <v>1469</v>
      </c>
      <c r="J23" s="4">
        <v>4002</v>
      </c>
      <c r="K23" s="4">
        <v>5</v>
      </c>
      <c r="L23" s="4" t="b">
        <f>FALSE()</f>
        <v>0</v>
      </c>
    </row>
    <row r="24" spans="1:12" x14ac:dyDescent="0.2">
      <c r="A24" s="4" t="s">
        <v>183</v>
      </c>
      <c r="B24" s="4" t="s">
        <v>184</v>
      </c>
      <c r="C24" s="4" t="s">
        <v>185</v>
      </c>
      <c r="D24" s="4" t="s">
        <v>100</v>
      </c>
      <c r="E24" s="4" t="s">
        <v>186</v>
      </c>
      <c r="F24" s="4" t="s">
        <v>14</v>
      </c>
      <c r="G24" s="4" t="s">
        <v>19</v>
      </c>
      <c r="H24" s="4" t="s">
        <v>96</v>
      </c>
      <c r="I24" s="4">
        <v>817</v>
      </c>
      <c r="J24" s="4">
        <v>1029</v>
      </c>
      <c r="K24" s="4">
        <v>4</v>
      </c>
      <c r="L24" s="4" t="b">
        <f>FALSE()</f>
        <v>0</v>
      </c>
    </row>
    <row r="25" spans="1:12" x14ac:dyDescent="0.2">
      <c r="A25" s="4" t="s">
        <v>187</v>
      </c>
      <c r="B25" s="4" t="s">
        <v>188</v>
      </c>
      <c r="C25" s="4" t="s">
        <v>189</v>
      </c>
      <c r="D25" s="4" t="s">
        <v>137</v>
      </c>
      <c r="E25" s="4" t="s">
        <v>190</v>
      </c>
      <c r="F25" s="4" t="s">
        <v>14</v>
      </c>
      <c r="G25" s="4" t="s">
        <v>20</v>
      </c>
      <c r="H25" s="4" t="s">
        <v>96</v>
      </c>
      <c r="I25" s="4">
        <v>2164</v>
      </c>
      <c r="J25" s="4">
        <v>1781</v>
      </c>
      <c r="K25" s="4">
        <v>5</v>
      </c>
      <c r="L25" s="4" t="b">
        <f>FALSE()</f>
        <v>0</v>
      </c>
    </row>
    <row r="26" spans="1:12" x14ac:dyDescent="0.2">
      <c r="A26" s="4" t="s">
        <v>191</v>
      </c>
      <c r="B26" s="4" t="s">
        <v>192</v>
      </c>
      <c r="C26" s="4" t="s">
        <v>193</v>
      </c>
      <c r="D26" s="4" t="s">
        <v>137</v>
      </c>
      <c r="E26" s="4" t="s">
        <v>194</v>
      </c>
      <c r="F26" s="4" t="s">
        <v>9</v>
      </c>
      <c r="G26" s="4" t="s">
        <v>19</v>
      </c>
      <c r="H26" s="4" t="s">
        <v>90</v>
      </c>
      <c r="I26" s="4">
        <v>1678</v>
      </c>
      <c r="J26" s="4">
        <v>3214</v>
      </c>
      <c r="K26" s="4">
        <v>3</v>
      </c>
      <c r="L26" s="4" t="b">
        <f>FALSE()</f>
        <v>0</v>
      </c>
    </row>
    <row r="27" spans="1:12" x14ac:dyDescent="0.2">
      <c r="A27" s="4" t="s">
        <v>195</v>
      </c>
      <c r="B27" s="4" t="s">
        <v>196</v>
      </c>
      <c r="C27" s="4" t="s">
        <v>197</v>
      </c>
      <c r="D27" s="4" t="s">
        <v>100</v>
      </c>
      <c r="E27" s="4" t="s">
        <v>198</v>
      </c>
      <c r="F27" s="4" t="s">
        <v>10</v>
      </c>
      <c r="G27" s="4" t="s">
        <v>20</v>
      </c>
      <c r="H27" s="4" t="s">
        <v>107</v>
      </c>
      <c r="I27" s="4">
        <v>1259</v>
      </c>
      <c r="J27" s="4">
        <v>1098</v>
      </c>
      <c r="K27" s="4">
        <v>5</v>
      </c>
      <c r="L27" s="4" t="b">
        <f>FALSE()</f>
        <v>0</v>
      </c>
    </row>
    <row r="28" spans="1:12" x14ac:dyDescent="0.2">
      <c r="A28" s="4" t="s">
        <v>199</v>
      </c>
      <c r="B28" s="4" t="s">
        <v>200</v>
      </c>
      <c r="C28" s="4" t="s">
        <v>201</v>
      </c>
      <c r="D28" s="4" t="s">
        <v>88</v>
      </c>
      <c r="E28" s="4" t="s">
        <v>202</v>
      </c>
      <c r="F28" s="4" t="s">
        <v>10</v>
      </c>
      <c r="G28" s="4" t="s">
        <v>21</v>
      </c>
      <c r="H28" s="4" t="s">
        <v>107</v>
      </c>
      <c r="I28" s="4">
        <v>1355</v>
      </c>
      <c r="J28" s="4">
        <v>2747</v>
      </c>
      <c r="K28" s="4">
        <v>5</v>
      </c>
      <c r="L28" s="4" t="b">
        <f>FALSE()</f>
        <v>0</v>
      </c>
    </row>
    <row r="29" spans="1:12" x14ac:dyDescent="0.2">
      <c r="A29" s="4" t="s">
        <v>203</v>
      </c>
      <c r="B29" s="4" t="s">
        <v>204</v>
      </c>
      <c r="C29" s="4" t="s">
        <v>205</v>
      </c>
      <c r="D29" s="4" t="s">
        <v>111</v>
      </c>
      <c r="E29" s="4" t="s">
        <v>206</v>
      </c>
      <c r="F29" s="4" t="s">
        <v>9</v>
      </c>
      <c r="G29" s="4" t="s">
        <v>19</v>
      </c>
      <c r="H29" s="4" t="s">
        <v>150</v>
      </c>
      <c r="I29" s="4">
        <v>1005</v>
      </c>
      <c r="J29" s="4">
        <v>1663</v>
      </c>
      <c r="K29" s="4">
        <v>3</v>
      </c>
      <c r="L29" s="4" t="b">
        <f>FALSE()</f>
        <v>0</v>
      </c>
    </row>
    <row r="30" spans="1:12" x14ac:dyDescent="0.2">
      <c r="A30" s="4" t="s">
        <v>207</v>
      </c>
      <c r="B30" s="4" t="s">
        <v>208</v>
      </c>
      <c r="C30" s="4" t="s">
        <v>209</v>
      </c>
      <c r="D30" s="4" t="s">
        <v>88</v>
      </c>
      <c r="E30" s="4" t="s">
        <v>210</v>
      </c>
      <c r="F30" s="4" t="s">
        <v>9</v>
      </c>
      <c r="G30" s="4" t="s">
        <v>21</v>
      </c>
      <c r="H30" s="4" t="s">
        <v>102</v>
      </c>
      <c r="I30" s="4">
        <v>3211</v>
      </c>
      <c r="J30" s="4">
        <v>3228</v>
      </c>
      <c r="K30" s="4">
        <v>5</v>
      </c>
      <c r="L30" s="4" t="b">
        <f>FALSE()</f>
        <v>0</v>
      </c>
    </row>
    <row r="31" spans="1:12" x14ac:dyDescent="0.2">
      <c r="A31" s="4" t="s">
        <v>211</v>
      </c>
      <c r="B31" s="4" t="s">
        <v>212</v>
      </c>
      <c r="C31" s="4" t="s">
        <v>213</v>
      </c>
      <c r="D31" s="4" t="s">
        <v>137</v>
      </c>
      <c r="E31" s="4" t="s">
        <v>214</v>
      </c>
      <c r="F31" s="4" t="s">
        <v>11</v>
      </c>
      <c r="G31" s="4" t="s">
        <v>20</v>
      </c>
      <c r="H31" s="4" t="s">
        <v>107</v>
      </c>
      <c r="I31" s="4">
        <v>2537</v>
      </c>
      <c r="J31" s="4">
        <v>5713</v>
      </c>
      <c r="K31" s="4">
        <v>3</v>
      </c>
      <c r="L31" s="4" t="b">
        <f>FALSE()</f>
        <v>0</v>
      </c>
    </row>
    <row r="32" spans="1:12" x14ac:dyDescent="0.2">
      <c r="A32" s="4" t="s">
        <v>215</v>
      </c>
      <c r="B32" s="4" t="s">
        <v>216</v>
      </c>
      <c r="C32" s="4" t="s">
        <v>217</v>
      </c>
      <c r="D32" s="4" t="s">
        <v>88</v>
      </c>
      <c r="E32" s="4" t="s">
        <v>218</v>
      </c>
      <c r="F32" s="4" t="s">
        <v>13</v>
      </c>
      <c r="G32" s="4" t="s">
        <v>24</v>
      </c>
      <c r="H32" s="4" t="s">
        <v>107</v>
      </c>
      <c r="I32" s="4">
        <v>495</v>
      </c>
      <c r="J32" s="4">
        <v>3221</v>
      </c>
      <c r="K32" s="4">
        <v>4</v>
      </c>
      <c r="L32" s="4" t="b">
        <f>FALSE()</f>
        <v>0</v>
      </c>
    </row>
    <row r="33" spans="1:12" x14ac:dyDescent="0.2">
      <c r="A33" s="4" t="s">
        <v>219</v>
      </c>
      <c r="B33" s="4" t="s">
        <v>220</v>
      </c>
      <c r="C33" s="4" t="s">
        <v>221</v>
      </c>
      <c r="D33" s="4" t="s">
        <v>111</v>
      </c>
      <c r="E33" s="4" t="s">
        <v>174</v>
      </c>
      <c r="F33" s="4" t="s">
        <v>9</v>
      </c>
      <c r="G33" s="4" t="s">
        <v>18</v>
      </c>
      <c r="H33" s="4" t="s">
        <v>107</v>
      </c>
      <c r="I33" s="4">
        <v>1911</v>
      </c>
      <c r="J33" s="4">
        <v>3870</v>
      </c>
      <c r="K33" s="4">
        <v>4</v>
      </c>
      <c r="L33" s="4" t="b">
        <f>FALSE()</f>
        <v>0</v>
      </c>
    </row>
    <row r="34" spans="1:12" x14ac:dyDescent="0.2">
      <c r="A34" s="4" t="s">
        <v>222</v>
      </c>
      <c r="B34" s="4" t="s">
        <v>223</v>
      </c>
      <c r="C34" s="4" t="s">
        <v>224</v>
      </c>
      <c r="D34" s="4" t="s">
        <v>88</v>
      </c>
      <c r="E34" s="4" t="s">
        <v>225</v>
      </c>
      <c r="F34" s="4" t="s">
        <v>14</v>
      </c>
      <c r="G34" s="4" t="s">
        <v>18</v>
      </c>
      <c r="H34" s="4" t="s">
        <v>96</v>
      </c>
      <c r="I34" s="4">
        <v>1243</v>
      </c>
      <c r="J34" s="4">
        <v>3188</v>
      </c>
      <c r="K34" s="4">
        <v>5</v>
      </c>
      <c r="L34" s="4" t="b">
        <f>FALSE()</f>
        <v>0</v>
      </c>
    </row>
    <row r="35" spans="1:12" x14ac:dyDescent="0.2">
      <c r="A35" s="4" t="s">
        <v>226</v>
      </c>
      <c r="B35" s="4" t="s">
        <v>227</v>
      </c>
      <c r="C35" s="4" t="s">
        <v>228</v>
      </c>
      <c r="D35" s="4" t="s">
        <v>133</v>
      </c>
      <c r="E35" s="4" t="s">
        <v>229</v>
      </c>
      <c r="F35" s="4" t="s">
        <v>14</v>
      </c>
      <c r="G35" s="4" t="s">
        <v>22</v>
      </c>
      <c r="H35" s="4" t="s">
        <v>125</v>
      </c>
      <c r="I35" s="4">
        <v>513</v>
      </c>
      <c r="J35" s="4">
        <v>2041</v>
      </c>
      <c r="K35" s="4">
        <v>5</v>
      </c>
      <c r="L35" s="4" t="b">
        <f>FALSE()</f>
        <v>0</v>
      </c>
    </row>
    <row r="36" spans="1:12" x14ac:dyDescent="0.2">
      <c r="A36" s="4" t="s">
        <v>230</v>
      </c>
      <c r="B36" s="4" t="s">
        <v>109</v>
      </c>
      <c r="C36" s="4" t="s">
        <v>231</v>
      </c>
      <c r="D36" s="4" t="s">
        <v>111</v>
      </c>
      <c r="E36" s="4" t="s">
        <v>232</v>
      </c>
      <c r="F36" s="4" t="s">
        <v>10</v>
      </c>
      <c r="G36" s="4" t="s">
        <v>22</v>
      </c>
      <c r="H36" s="4" t="s">
        <v>150</v>
      </c>
      <c r="I36" s="4">
        <v>686</v>
      </c>
      <c r="J36" s="4">
        <v>2963</v>
      </c>
      <c r="K36" s="4">
        <v>2</v>
      </c>
      <c r="L36" s="4" t="b">
        <f>FALSE()</f>
        <v>0</v>
      </c>
    </row>
    <row r="37" spans="1:12" x14ac:dyDescent="0.2">
      <c r="A37" s="4" t="s">
        <v>233</v>
      </c>
      <c r="B37" s="4" t="s">
        <v>234</v>
      </c>
      <c r="C37" s="4" t="s">
        <v>235</v>
      </c>
      <c r="D37" s="4" t="s">
        <v>94</v>
      </c>
      <c r="E37" s="4" t="s">
        <v>236</v>
      </c>
      <c r="F37" s="4" t="s">
        <v>14</v>
      </c>
      <c r="G37" s="4" t="s">
        <v>23</v>
      </c>
      <c r="H37" s="4" t="s">
        <v>107</v>
      </c>
      <c r="I37" s="4">
        <v>1127</v>
      </c>
      <c r="J37" s="4">
        <v>1762</v>
      </c>
      <c r="K37" s="4">
        <v>3</v>
      </c>
      <c r="L37" s="4" t="b">
        <f>FALSE()</f>
        <v>0</v>
      </c>
    </row>
    <row r="38" spans="1:12" x14ac:dyDescent="0.2">
      <c r="A38" s="4" t="s">
        <v>237</v>
      </c>
      <c r="B38" s="4" t="s">
        <v>238</v>
      </c>
      <c r="C38" s="4" t="s">
        <v>239</v>
      </c>
      <c r="D38" s="4" t="s">
        <v>88</v>
      </c>
      <c r="E38" s="4" t="s">
        <v>240</v>
      </c>
      <c r="F38" s="4" t="s">
        <v>11</v>
      </c>
      <c r="G38" s="4" t="s">
        <v>19</v>
      </c>
      <c r="H38" s="4" t="s">
        <v>150</v>
      </c>
      <c r="I38" s="4">
        <v>1191</v>
      </c>
      <c r="J38" s="4">
        <v>5163</v>
      </c>
      <c r="K38" s="4">
        <v>4</v>
      </c>
      <c r="L38" s="4" t="b">
        <f>FALSE()</f>
        <v>0</v>
      </c>
    </row>
    <row r="39" spans="1:12" x14ac:dyDescent="0.2">
      <c r="A39" s="4" t="s">
        <v>241</v>
      </c>
      <c r="B39" s="4" t="s">
        <v>242</v>
      </c>
      <c r="C39" s="4" t="s">
        <v>243</v>
      </c>
      <c r="D39" s="4" t="s">
        <v>100</v>
      </c>
      <c r="E39" s="4" t="s">
        <v>244</v>
      </c>
      <c r="F39" s="4" t="s">
        <v>10</v>
      </c>
      <c r="G39" s="4" t="s">
        <v>24</v>
      </c>
      <c r="H39" s="4" t="s">
        <v>150</v>
      </c>
      <c r="I39" s="4">
        <v>1827</v>
      </c>
      <c r="J39" s="4">
        <v>4308</v>
      </c>
      <c r="K39" s="4">
        <v>4</v>
      </c>
      <c r="L39" s="4" t="b">
        <f>FALSE()</f>
        <v>0</v>
      </c>
    </row>
    <row r="40" spans="1:12" x14ac:dyDescent="0.2">
      <c r="A40" s="4" t="s">
        <v>245</v>
      </c>
      <c r="B40" s="4" t="s">
        <v>246</v>
      </c>
      <c r="C40" s="4" t="s">
        <v>247</v>
      </c>
      <c r="D40" s="4" t="s">
        <v>137</v>
      </c>
      <c r="E40" s="4" t="s">
        <v>248</v>
      </c>
      <c r="F40" s="4" t="s">
        <v>14</v>
      </c>
      <c r="G40" s="4" t="s">
        <v>18</v>
      </c>
      <c r="H40" s="4" t="s">
        <v>102</v>
      </c>
      <c r="I40" s="4">
        <v>1120</v>
      </c>
      <c r="J40" s="4">
        <v>5017</v>
      </c>
      <c r="K40" s="4">
        <v>4</v>
      </c>
      <c r="L40" s="4" t="b">
        <f>FALSE()</f>
        <v>0</v>
      </c>
    </row>
    <row r="41" spans="1:12" x14ac:dyDescent="0.2">
      <c r="A41" s="4" t="s">
        <v>249</v>
      </c>
      <c r="B41" s="4" t="s">
        <v>250</v>
      </c>
      <c r="C41" s="4" t="s">
        <v>251</v>
      </c>
      <c r="D41" s="4" t="s">
        <v>94</v>
      </c>
      <c r="E41" s="4" t="s">
        <v>252</v>
      </c>
      <c r="F41" s="4" t="s">
        <v>10</v>
      </c>
      <c r="G41" s="4" t="s">
        <v>24</v>
      </c>
      <c r="H41" s="4" t="s">
        <v>107</v>
      </c>
      <c r="I41" s="4">
        <v>1770</v>
      </c>
      <c r="J41" s="4">
        <v>2377</v>
      </c>
      <c r="K41" s="4">
        <v>4</v>
      </c>
      <c r="L41" s="4" t="b">
        <f>FALSE()</f>
        <v>0</v>
      </c>
    </row>
    <row r="42" spans="1:12" x14ac:dyDescent="0.2">
      <c r="A42" s="4" t="s">
        <v>253</v>
      </c>
      <c r="B42" s="4" t="s">
        <v>254</v>
      </c>
      <c r="C42" s="4" t="s">
        <v>255</v>
      </c>
      <c r="D42" s="4" t="s">
        <v>133</v>
      </c>
      <c r="E42" s="4" t="s">
        <v>214</v>
      </c>
      <c r="F42" s="4" t="s">
        <v>10</v>
      </c>
      <c r="G42" s="4" t="s">
        <v>20</v>
      </c>
      <c r="H42" s="4" t="s">
        <v>96</v>
      </c>
      <c r="I42" s="4">
        <v>1008</v>
      </c>
      <c r="J42" s="4">
        <v>4613</v>
      </c>
      <c r="K42" s="4">
        <v>4</v>
      </c>
      <c r="L42" s="4" t="b">
        <f>FALSE()</f>
        <v>0</v>
      </c>
    </row>
    <row r="43" spans="1:12" x14ac:dyDescent="0.2">
      <c r="A43" s="4" t="s">
        <v>256</v>
      </c>
      <c r="B43" s="4" t="s">
        <v>257</v>
      </c>
      <c r="C43" s="4" t="s">
        <v>258</v>
      </c>
      <c r="D43" s="4" t="s">
        <v>94</v>
      </c>
      <c r="E43" s="4" t="s">
        <v>259</v>
      </c>
      <c r="F43" s="4" t="s">
        <v>9</v>
      </c>
      <c r="G43" s="4" t="s">
        <v>18</v>
      </c>
      <c r="H43" s="4" t="s">
        <v>150</v>
      </c>
      <c r="I43" s="4">
        <v>949</v>
      </c>
      <c r="J43" s="4">
        <v>2322</v>
      </c>
      <c r="K43" s="4">
        <v>3</v>
      </c>
      <c r="L43" s="4" t="b">
        <f>FALSE()</f>
        <v>0</v>
      </c>
    </row>
    <row r="44" spans="1:12" x14ac:dyDescent="0.2">
      <c r="A44" s="4" t="s">
        <v>260</v>
      </c>
      <c r="B44" s="4" t="s">
        <v>261</v>
      </c>
      <c r="C44" s="4" t="s">
        <v>262</v>
      </c>
      <c r="D44" s="4" t="s">
        <v>100</v>
      </c>
      <c r="E44" s="4" t="s">
        <v>116</v>
      </c>
      <c r="F44" s="4" t="s">
        <v>10</v>
      </c>
      <c r="G44" s="4" t="s">
        <v>22</v>
      </c>
      <c r="H44" s="4" t="s">
        <v>102</v>
      </c>
      <c r="I44" s="4">
        <v>2943</v>
      </c>
      <c r="J44" s="4">
        <v>1922</v>
      </c>
      <c r="K44" s="4">
        <v>2</v>
      </c>
      <c r="L44" s="4" t="b">
        <f>FALSE()</f>
        <v>0</v>
      </c>
    </row>
    <row r="45" spans="1:12" x14ac:dyDescent="0.2">
      <c r="A45" s="4" t="s">
        <v>263</v>
      </c>
      <c r="B45" s="4" t="s">
        <v>264</v>
      </c>
      <c r="C45" s="4" t="s">
        <v>265</v>
      </c>
      <c r="D45" s="4" t="s">
        <v>100</v>
      </c>
      <c r="E45" s="4" t="s">
        <v>266</v>
      </c>
      <c r="F45" s="4" t="s">
        <v>14</v>
      </c>
      <c r="G45" s="4" t="s">
        <v>19</v>
      </c>
      <c r="H45" s="4" t="s">
        <v>102</v>
      </c>
      <c r="I45" s="4">
        <v>1568</v>
      </c>
      <c r="J45" s="4">
        <v>1198</v>
      </c>
      <c r="K45" s="4">
        <v>5</v>
      </c>
      <c r="L45" s="4" t="b">
        <f>FALSE()</f>
        <v>0</v>
      </c>
    </row>
    <row r="46" spans="1:12" x14ac:dyDescent="0.2">
      <c r="A46" s="4" t="s">
        <v>267</v>
      </c>
      <c r="B46" s="4" t="s">
        <v>268</v>
      </c>
      <c r="C46" s="4" t="s">
        <v>269</v>
      </c>
      <c r="D46" s="4" t="s">
        <v>94</v>
      </c>
      <c r="E46" s="4" t="s">
        <v>270</v>
      </c>
      <c r="F46" s="4" t="s">
        <v>10</v>
      </c>
      <c r="G46" s="4" t="s">
        <v>18</v>
      </c>
      <c r="H46" s="4" t="s">
        <v>125</v>
      </c>
      <c r="I46" s="4">
        <v>873</v>
      </c>
      <c r="J46" s="4">
        <v>1242</v>
      </c>
      <c r="K46" s="4">
        <v>5</v>
      </c>
      <c r="L46" s="4" t="b">
        <f>FALSE()</f>
        <v>0</v>
      </c>
    </row>
    <row r="47" spans="1:12" x14ac:dyDescent="0.2">
      <c r="A47" s="4" t="s">
        <v>271</v>
      </c>
      <c r="B47" s="4" t="s">
        <v>272</v>
      </c>
      <c r="C47" s="4" t="s">
        <v>273</v>
      </c>
      <c r="D47" s="4" t="s">
        <v>88</v>
      </c>
      <c r="E47" s="4" t="s">
        <v>274</v>
      </c>
      <c r="F47" s="4" t="s">
        <v>12</v>
      </c>
      <c r="G47" s="4" t="s">
        <v>22</v>
      </c>
      <c r="H47" s="4" t="s">
        <v>150</v>
      </c>
      <c r="I47" s="4">
        <v>634</v>
      </c>
      <c r="J47" s="4">
        <v>902</v>
      </c>
      <c r="K47" s="4">
        <v>5</v>
      </c>
      <c r="L47" s="4" t="b">
        <f>FALSE()</f>
        <v>0</v>
      </c>
    </row>
    <row r="48" spans="1:12" x14ac:dyDescent="0.2">
      <c r="A48" s="4" t="s">
        <v>275</v>
      </c>
      <c r="B48" s="4" t="s">
        <v>276</v>
      </c>
      <c r="C48" s="4" t="s">
        <v>277</v>
      </c>
      <c r="D48" s="4" t="s">
        <v>133</v>
      </c>
      <c r="E48" s="4" t="s">
        <v>174</v>
      </c>
      <c r="F48" s="4" t="s">
        <v>13</v>
      </c>
      <c r="G48" s="4" t="s">
        <v>22</v>
      </c>
      <c r="H48" s="4" t="s">
        <v>107</v>
      </c>
      <c r="I48" s="4">
        <v>2173</v>
      </c>
      <c r="J48" s="4">
        <v>4423</v>
      </c>
      <c r="K48" s="4">
        <v>5</v>
      </c>
      <c r="L48" s="4" t="b">
        <f>FALSE()</f>
        <v>0</v>
      </c>
    </row>
    <row r="49" spans="1:12" x14ac:dyDescent="0.2">
      <c r="A49" s="4" t="s">
        <v>278</v>
      </c>
      <c r="B49" s="4" t="s">
        <v>279</v>
      </c>
      <c r="C49" s="4" t="s">
        <v>280</v>
      </c>
      <c r="D49" s="4" t="s">
        <v>94</v>
      </c>
      <c r="E49" s="4" t="s">
        <v>244</v>
      </c>
      <c r="F49" s="4" t="s">
        <v>10</v>
      </c>
      <c r="G49" s="4" t="s">
        <v>22</v>
      </c>
      <c r="H49" s="4" t="s">
        <v>96</v>
      </c>
      <c r="I49" s="4">
        <v>876</v>
      </c>
      <c r="J49" s="4">
        <v>5772</v>
      </c>
      <c r="K49" s="4">
        <v>5</v>
      </c>
      <c r="L49" s="4" t="b">
        <f>FALSE()</f>
        <v>0</v>
      </c>
    </row>
    <row r="50" spans="1:12" x14ac:dyDescent="0.2">
      <c r="A50" s="4" t="s">
        <v>281</v>
      </c>
      <c r="B50" s="4" t="s">
        <v>282</v>
      </c>
      <c r="C50" s="4" t="s">
        <v>283</v>
      </c>
      <c r="D50" s="4" t="s">
        <v>133</v>
      </c>
      <c r="E50" s="4" t="s">
        <v>284</v>
      </c>
      <c r="F50" s="4" t="s">
        <v>13</v>
      </c>
      <c r="G50" s="4" t="s">
        <v>22</v>
      </c>
      <c r="H50" s="4" t="s">
        <v>107</v>
      </c>
      <c r="I50" s="4">
        <v>1658</v>
      </c>
      <c r="J50" s="4">
        <v>553</v>
      </c>
      <c r="K50" s="4">
        <v>5</v>
      </c>
      <c r="L50" s="4" t="b">
        <f>FALSE()</f>
        <v>0</v>
      </c>
    </row>
    <row r="51" spans="1:12" x14ac:dyDescent="0.2">
      <c r="A51" s="4" t="s">
        <v>285</v>
      </c>
      <c r="B51" s="4" t="s">
        <v>286</v>
      </c>
      <c r="C51" s="4" t="s">
        <v>287</v>
      </c>
      <c r="D51" s="4" t="s">
        <v>100</v>
      </c>
      <c r="E51" s="4" t="s">
        <v>288</v>
      </c>
      <c r="F51" s="4" t="s">
        <v>10</v>
      </c>
      <c r="G51" s="4" t="s">
        <v>24</v>
      </c>
      <c r="H51" s="4" t="s">
        <v>96</v>
      </c>
      <c r="I51" s="4">
        <v>1739</v>
      </c>
      <c r="J51" s="4">
        <v>6412</v>
      </c>
      <c r="K51" s="4">
        <v>4</v>
      </c>
      <c r="L51" s="4" t="b">
        <f>FALSE()</f>
        <v>0</v>
      </c>
    </row>
    <row r="52" spans="1:12" x14ac:dyDescent="0.2">
      <c r="A52" s="4" t="s">
        <v>289</v>
      </c>
      <c r="B52" s="4" t="s">
        <v>290</v>
      </c>
      <c r="C52" s="4" t="s">
        <v>291</v>
      </c>
      <c r="D52" s="4" t="s">
        <v>111</v>
      </c>
      <c r="E52" s="4" t="s">
        <v>214</v>
      </c>
      <c r="F52" s="4" t="s">
        <v>11</v>
      </c>
      <c r="G52" s="4" t="s">
        <v>21</v>
      </c>
      <c r="H52" s="4" t="s">
        <v>150</v>
      </c>
      <c r="I52" s="4">
        <v>1950</v>
      </c>
      <c r="J52" s="4">
        <v>2661</v>
      </c>
      <c r="K52" s="4">
        <v>3</v>
      </c>
      <c r="L52" s="4" t="b">
        <f>FALSE()</f>
        <v>0</v>
      </c>
    </row>
    <row r="53" spans="1:12" x14ac:dyDescent="0.2">
      <c r="A53" s="4" t="s">
        <v>292</v>
      </c>
      <c r="B53" s="4" t="s">
        <v>293</v>
      </c>
      <c r="C53" s="4" t="s">
        <v>294</v>
      </c>
      <c r="D53" s="4" t="s">
        <v>111</v>
      </c>
      <c r="E53" s="4" t="s">
        <v>295</v>
      </c>
      <c r="F53" s="4" t="s">
        <v>12</v>
      </c>
      <c r="G53" s="4" t="s">
        <v>24</v>
      </c>
      <c r="H53" s="4" t="s">
        <v>125</v>
      </c>
      <c r="I53" s="4">
        <v>1411</v>
      </c>
      <c r="J53" s="4">
        <v>5679</v>
      </c>
      <c r="K53" s="4">
        <v>4</v>
      </c>
      <c r="L53" s="4" t="b">
        <f>FALSE()</f>
        <v>0</v>
      </c>
    </row>
    <row r="54" spans="1:12" x14ac:dyDescent="0.2">
      <c r="A54" s="4" t="s">
        <v>296</v>
      </c>
      <c r="B54" s="4" t="s">
        <v>297</v>
      </c>
      <c r="C54" s="4" t="s">
        <v>298</v>
      </c>
      <c r="D54" s="4" t="s">
        <v>100</v>
      </c>
      <c r="E54" s="4" t="s">
        <v>299</v>
      </c>
      <c r="F54" s="4" t="s">
        <v>13</v>
      </c>
      <c r="G54" s="4" t="s">
        <v>19</v>
      </c>
      <c r="H54" s="4" t="s">
        <v>107</v>
      </c>
      <c r="I54" s="4">
        <v>1276</v>
      </c>
      <c r="J54" s="4">
        <v>3813</v>
      </c>
      <c r="K54" s="4">
        <v>5</v>
      </c>
      <c r="L54" s="4" t="b">
        <f>FALSE()</f>
        <v>0</v>
      </c>
    </row>
    <row r="55" spans="1:12" x14ac:dyDescent="0.2">
      <c r="A55" s="4" t="s">
        <v>300</v>
      </c>
      <c r="B55" s="4" t="s">
        <v>301</v>
      </c>
      <c r="C55" s="4" t="s">
        <v>302</v>
      </c>
      <c r="D55" s="4" t="s">
        <v>94</v>
      </c>
      <c r="E55" s="4" t="s">
        <v>303</v>
      </c>
      <c r="F55" s="4" t="s">
        <v>13</v>
      </c>
      <c r="G55" s="4" t="s">
        <v>23</v>
      </c>
      <c r="H55" s="4" t="s">
        <v>107</v>
      </c>
      <c r="I55" s="4">
        <v>886</v>
      </c>
      <c r="J55" s="4">
        <v>5067</v>
      </c>
      <c r="K55" s="4">
        <v>5</v>
      </c>
      <c r="L55" s="4" t="b">
        <f>FALSE()</f>
        <v>0</v>
      </c>
    </row>
    <row r="56" spans="1:12" x14ac:dyDescent="0.2">
      <c r="A56" s="4" t="s">
        <v>304</v>
      </c>
      <c r="B56" s="4" t="s">
        <v>305</v>
      </c>
      <c r="C56" s="4" t="s">
        <v>306</v>
      </c>
      <c r="D56" s="4" t="s">
        <v>100</v>
      </c>
      <c r="E56" s="4" t="s">
        <v>307</v>
      </c>
      <c r="F56" s="4" t="s">
        <v>11</v>
      </c>
      <c r="G56" s="4" t="s">
        <v>20</v>
      </c>
      <c r="H56" s="4" t="s">
        <v>102</v>
      </c>
      <c r="I56" s="4">
        <v>1567</v>
      </c>
      <c r="J56" s="4">
        <v>5430</v>
      </c>
      <c r="K56" s="4">
        <v>4</v>
      </c>
      <c r="L56" s="4" t="b">
        <f>FALSE()</f>
        <v>0</v>
      </c>
    </row>
    <row r="57" spans="1:12" x14ac:dyDescent="0.2">
      <c r="A57" s="4" t="s">
        <v>308</v>
      </c>
      <c r="B57" s="4" t="s">
        <v>309</v>
      </c>
      <c r="C57" s="4" t="s">
        <v>310</v>
      </c>
      <c r="D57" s="4" t="s">
        <v>133</v>
      </c>
      <c r="E57" s="4" t="s">
        <v>311</v>
      </c>
      <c r="F57" s="4" t="s">
        <v>10</v>
      </c>
      <c r="G57" s="4" t="s">
        <v>21</v>
      </c>
      <c r="H57" s="4" t="s">
        <v>102</v>
      </c>
      <c r="I57" s="4">
        <v>1612</v>
      </c>
      <c r="J57" s="4">
        <v>6315</v>
      </c>
      <c r="K57" s="4">
        <v>5</v>
      </c>
      <c r="L57" s="4" t="b">
        <f>FALSE()</f>
        <v>0</v>
      </c>
    </row>
    <row r="58" spans="1:12" x14ac:dyDescent="0.2">
      <c r="A58" s="4" t="s">
        <v>312</v>
      </c>
      <c r="B58" s="4" t="s">
        <v>313</v>
      </c>
      <c r="C58" s="4" t="s">
        <v>314</v>
      </c>
      <c r="D58" s="4" t="s">
        <v>133</v>
      </c>
      <c r="E58" s="4" t="s">
        <v>315</v>
      </c>
      <c r="F58" s="4" t="s">
        <v>9</v>
      </c>
      <c r="G58" s="4" t="s">
        <v>24</v>
      </c>
      <c r="H58" s="4" t="s">
        <v>96</v>
      </c>
      <c r="I58" s="4">
        <v>1663</v>
      </c>
      <c r="J58" s="4">
        <v>5283</v>
      </c>
      <c r="K58" s="4">
        <v>4</v>
      </c>
      <c r="L58" s="4" t="b">
        <f>TRUE()</f>
        <v>1</v>
      </c>
    </row>
    <row r="59" spans="1:12" x14ac:dyDescent="0.2">
      <c r="A59" s="4" t="s">
        <v>316</v>
      </c>
      <c r="B59" s="4" t="s">
        <v>317</v>
      </c>
      <c r="C59" s="4" t="s">
        <v>318</v>
      </c>
      <c r="D59" s="4" t="s">
        <v>94</v>
      </c>
      <c r="E59" s="4" t="s">
        <v>319</v>
      </c>
      <c r="F59" s="4" t="s">
        <v>14</v>
      </c>
      <c r="G59" s="4" t="s">
        <v>19</v>
      </c>
      <c r="H59" s="4" t="s">
        <v>150</v>
      </c>
      <c r="I59" s="4">
        <v>2560</v>
      </c>
      <c r="J59" s="4">
        <v>2123</v>
      </c>
      <c r="K59" s="4">
        <v>5</v>
      </c>
      <c r="L59" s="4" t="b">
        <f>FALSE()</f>
        <v>0</v>
      </c>
    </row>
    <row r="60" spans="1:12" x14ac:dyDescent="0.2">
      <c r="A60" s="4" t="s">
        <v>320</v>
      </c>
      <c r="B60" s="4" t="s">
        <v>321</v>
      </c>
      <c r="C60" s="4" t="s">
        <v>322</v>
      </c>
      <c r="D60" s="4" t="s">
        <v>88</v>
      </c>
      <c r="E60" s="4" t="s">
        <v>323</v>
      </c>
      <c r="F60" s="4" t="s">
        <v>11</v>
      </c>
      <c r="G60" s="4" t="s">
        <v>21</v>
      </c>
      <c r="H60" s="4" t="s">
        <v>150</v>
      </c>
      <c r="I60" s="4">
        <v>1178</v>
      </c>
      <c r="J60" s="4">
        <v>4396</v>
      </c>
      <c r="K60" s="4">
        <v>4</v>
      </c>
      <c r="L60" s="4" t="b">
        <f>FALSE()</f>
        <v>0</v>
      </c>
    </row>
    <row r="61" spans="1:12" x14ac:dyDescent="0.2">
      <c r="A61" s="4" t="s">
        <v>324</v>
      </c>
      <c r="B61" s="4" t="s">
        <v>325</v>
      </c>
      <c r="C61" s="4" t="s">
        <v>326</v>
      </c>
      <c r="D61" s="4" t="s">
        <v>133</v>
      </c>
      <c r="E61" s="4" t="s">
        <v>327</v>
      </c>
      <c r="F61" s="4" t="s">
        <v>12</v>
      </c>
      <c r="G61" s="4" t="s">
        <v>18</v>
      </c>
      <c r="H61" s="4" t="s">
        <v>107</v>
      </c>
      <c r="I61" s="4">
        <v>1543</v>
      </c>
      <c r="J61" s="4">
        <v>2679</v>
      </c>
      <c r="K61" s="4">
        <v>5</v>
      </c>
      <c r="L61" s="4" t="b">
        <f>FALSE()</f>
        <v>0</v>
      </c>
    </row>
    <row r="62" spans="1:12" x14ac:dyDescent="0.2">
      <c r="A62" s="4" t="s">
        <v>328</v>
      </c>
      <c r="B62" s="4" t="s">
        <v>329</v>
      </c>
      <c r="C62" s="4" t="s">
        <v>330</v>
      </c>
      <c r="D62" s="4" t="s">
        <v>94</v>
      </c>
      <c r="E62" s="4" t="s">
        <v>331</v>
      </c>
      <c r="F62" s="4" t="s">
        <v>9</v>
      </c>
      <c r="G62" s="4" t="s">
        <v>23</v>
      </c>
      <c r="H62" s="4" t="s">
        <v>107</v>
      </c>
      <c r="I62" s="4">
        <v>1156</v>
      </c>
      <c r="J62" s="4">
        <v>3570</v>
      </c>
      <c r="K62" s="4">
        <v>3</v>
      </c>
      <c r="L62" s="4" t="b">
        <f>TRUE()</f>
        <v>1</v>
      </c>
    </row>
    <row r="63" spans="1:12" x14ac:dyDescent="0.2">
      <c r="A63" s="4" t="s">
        <v>332</v>
      </c>
      <c r="B63" s="4" t="s">
        <v>333</v>
      </c>
      <c r="C63" s="4" t="s">
        <v>334</v>
      </c>
      <c r="D63" s="4" t="s">
        <v>133</v>
      </c>
      <c r="E63" s="4" t="s">
        <v>335</v>
      </c>
      <c r="F63" s="4" t="s">
        <v>9</v>
      </c>
      <c r="G63" s="4" t="s">
        <v>22</v>
      </c>
      <c r="H63" s="4" t="s">
        <v>102</v>
      </c>
      <c r="I63" s="4">
        <v>1740</v>
      </c>
      <c r="J63" s="4">
        <v>2037</v>
      </c>
      <c r="K63" s="4">
        <v>3</v>
      </c>
      <c r="L63" s="4" t="b">
        <f>TRUE()</f>
        <v>1</v>
      </c>
    </row>
    <row r="64" spans="1:12" x14ac:dyDescent="0.2">
      <c r="A64" s="4" t="s">
        <v>336</v>
      </c>
      <c r="B64" s="4" t="s">
        <v>337</v>
      </c>
      <c r="C64" s="4" t="s">
        <v>338</v>
      </c>
      <c r="D64" s="4" t="s">
        <v>133</v>
      </c>
      <c r="E64" s="4" t="s">
        <v>252</v>
      </c>
      <c r="F64" s="4" t="s">
        <v>13</v>
      </c>
      <c r="G64" s="4" t="s">
        <v>18</v>
      </c>
      <c r="H64" s="4" t="s">
        <v>150</v>
      </c>
      <c r="I64" s="4">
        <v>1392</v>
      </c>
      <c r="J64" s="4">
        <v>2868</v>
      </c>
      <c r="K64" s="4">
        <v>5</v>
      </c>
      <c r="L64" s="4" t="b">
        <f>FALSE()</f>
        <v>0</v>
      </c>
    </row>
    <row r="65" spans="1:12" x14ac:dyDescent="0.2">
      <c r="A65" s="4" t="s">
        <v>339</v>
      </c>
      <c r="B65" s="4" t="s">
        <v>340</v>
      </c>
      <c r="C65" s="4" t="s">
        <v>341</v>
      </c>
      <c r="D65" s="4" t="s">
        <v>88</v>
      </c>
      <c r="E65" s="4" t="s">
        <v>342</v>
      </c>
      <c r="F65" s="4" t="s">
        <v>13</v>
      </c>
      <c r="G65" s="4" t="s">
        <v>24</v>
      </c>
      <c r="H65" s="4" t="s">
        <v>125</v>
      </c>
      <c r="I65" s="4">
        <v>1469</v>
      </c>
      <c r="J65" s="4">
        <v>3038</v>
      </c>
      <c r="K65" s="4">
        <v>4</v>
      </c>
      <c r="L65" s="4" t="b">
        <f>FALSE()</f>
        <v>0</v>
      </c>
    </row>
    <row r="66" spans="1:12" x14ac:dyDescent="0.2">
      <c r="A66" s="4" t="s">
        <v>343</v>
      </c>
      <c r="B66" s="4" t="s">
        <v>344</v>
      </c>
      <c r="C66" s="4" t="s">
        <v>345</v>
      </c>
      <c r="D66" s="4" t="s">
        <v>111</v>
      </c>
      <c r="E66" s="4" t="s">
        <v>346</v>
      </c>
      <c r="F66" s="4" t="s">
        <v>12</v>
      </c>
      <c r="G66" s="4" t="s">
        <v>19</v>
      </c>
      <c r="H66" s="4" t="s">
        <v>125</v>
      </c>
      <c r="I66" s="4">
        <v>918</v>
      </c>
      <c r="J66" s="4">
        <v>2596</v>
      </c>
      <c r="K66" s="4">
        <v>5</v>
      </c>
      <c r="L66" s="4" t="b">
        <f>FALSE()</f>
        <v>0</v>
      </c>
    </row>
    <row r="67" spans="1:12" x14ac:dyDescent="0.2">
      <c r="A67" s="4" t="s">
        <v>347</v>
      </c>
      <c r="B67" s="4" t="s">
        <v>348</v>
      </c>
      <c r="C67" s="4" t="s">
        <v>349</v>
      </c>
      <c r="D67" s="4" t="s">
        <v>133</v>
      </c>
      <c r="E67" s="4" t="s">
        <v>214</v>
      </c>
      <c r="F67" s="4" t="s">
        <v>11</v>
      </c>
      <c r="G67" s="4" t="s">
        <v>21</v>
      </c>
      <c r="H67" s="4" t="s">
        <v>125</v>
      </c>
      <c r="I67" s="4">
        <v>1037</v>
      </c>
      <c r="J67" s="4">
        <v>3790</v>
      </c>
      <c r="K67" s="4">
        <v>3</v>
      </c>
      <c r="L67" s="4" t="b">
        <f>FALSE()</f>
        <v>0</v>
      </c>
    </row>
    <row r="68" spans="1:12" x14ac:dyDescent="0.2">
      <c r="A68" s="4" t="s">
        <v>350</v>
      </c>
      <c r="B68" s="4" t="s">
        <v>351</v>
      </c>
      <c r="C68" s="4" t="s">
        <v>352</v>
      </c>
      <c r="D68" s="4" t="s">
        <v>133</v>
      </c>
      <c r="E68" s="4" t="s">
        <v>353</v>
      </c>
      <c r="F68" s="4" t="s">
        <v>12</v>
      </c>
      <c r="G68" s="4" t="s">
        <v>18</v>
      </c>
      <c r="H68" s="4" t="s">
        <v>150</v>
      </c>
      <c r="I68" s="4">
        <v>1422</v>
      </c>
      <c r="J68" s="4">
        <v>1439</v>
      </c>
      <c r="K68" s="4">
        <v>5</v>
      </c>
      <c r="L68" s="4" t="b">
        <f>FALSE()</f>
        <v>0</v>
      </c>
    </row>
    <row r="69" spans="1:12" x14ac:dyDescent="0.2">
      <c r="A69" s="4" t="s">
        <v>354</v>
      </c>
      <c r="B69" s="4" t="s">
        <v>355</v>
      </c>
      <c r="C69" s="4" t="s">
        <v>356</v>
      </c>
      <c r="D69" s="4" t="s">
        <v>88</v>
      </c>
      <c r="E69" s="4" t="s">
        <v>357</v>
      </c>
      <c r="F69" s="4" t="s">
        <v>9</v>
      </c>
      <c r="G69" s="4" t="s">
        <v>19</v>
      </c>
      <c r="H69" s="4" t="s">
        <v>96</v>
      </c>
      <c r="I69" s="4">
        <v>1106</v>
      </c>
      <c r="J69" s="4">
        <v>4649</v>
      </c>
      <c r="K69" s="4">
        <v>4</v>
      </c>
      <c r="L69" s="4" t="b">
        <f>FALSE()</f>
        <v>0</v>
      </c>
    </row>
    <row r="70" spans="1:12" x14ac:dyDescent="0.2">
      <c r="A70" s="4" t="s">
        <v>358</v>
      </c>
      <c r="B70" s="4" t="s">
        <v>359</v>
      </c>
      <c r="C70" s="4" t="s">
        <v>360</v>
      </c>
      <c r="D70" s="4" t="s">
        <v>88</v>
      </c>
      <c r="E70" s="4" t="s">
        <v>361</v>
      </c>
      <c r="F70" s="4" t="s">
        <v>11</v>
      </c>
      <c r="G70" s="4" t="s">
        <v>24</v>
      </c>
      <c r="H70" s="4" t="s">
        <v>90</v>
      </c>
      <c r="I70" s="4">
        <v>818</v>
      </c>
      <c r="J70" s="4">
        <v>1988</v>
      </c>
      <c r="K70" s="4">
        <v>5</v>
      </c>
      <c r="L70" s="4" t="b">
        <f>FALSE()</f>
        <v>0</v>
      </c>
    </row>
    <row r="71" spans="1:12" x14ac:dyDescent="0.2">
      <c r="A71" s="4" t="s">
        <v>362</v>
      </c>
      <c r="B71" s="4" t="s">
        <v>351</v>
      </c>
      <c r="C71" s="4" t="s">
        <v>363</v>
      </c>
      <c r="D71" s="4" t="s">
        <v>111</v>
      </c>
      <c r="E71" s="4" t="s">
        <v>364</v>
      </c>
      <c r="F71" s="4" t="s">
        <v>10</v>
      </c>
      <c r="G71" s="4" t="s">
        <v>23</v>
      </c>
      <c r="H71" s="4" t="s">
        <v>107</v>
      </c>
      <c r="I71" s="4">
        <v>854</v>
      </c>
      <c r="J71" s="4">
        <v>3696</v>
      </c>
      <c r="K71" s="4">
        <v>5</v>
      </c>
      <c r="L71" s="4" t="b">
        <f>FALSE()</f>
        <v>0</v>
      </c>
    </row>
    <row r="72" spans="1:12" x14ac:dyDescent="0.2">
      <c r="A72" s="4" t="s">
        <v>365</v>
      </c>
      <c r="B72" s="4" t="s">
        <v>366</v>
      </c>
      <c r="C72" s="4" t="s">
        <v>367</v>
      </c>
      <c r="D72" s="4" t="s">
        <v>133</v>
      </c>
      <c r="E72" s="4" t="s">
        <v>368</v>
      </c>
      <c r="F72" s="4" t="s">
        <v>14</v>
      </c>
      <c r="G72" s="4" t="s">
        <v>22</v>
      </c>
      <c r="H72" s="4" t="s">
        <v>150</v>
      </c>
      <c r="I72" s="4">
        <v>1710</v>
      </c>
      <c r="J72" s="4">
        <v>2730</v>
      </c>
      <c r="K72" s="4">
        <v>5</v>
      </c>
      <c r="L72" s="4" t="b">
        <f>FALSE()</f>
        <v>0</v>
      </c>
    </row>
    <row r="73" spans="1:12" x14ac:dyDescent="0.2">
      <c r="A73" s="4" t="s">
        <v>369</v>
      </c>
      <c r="B73" s="4" t="s">
        <v>370</v>
      </c>
      <c r="C73" s="4" t="s">
        <v>371</v>
      </c>
      <c r="D73" s="4" t="s">
        <v>100</v>
      </c>
      <c r="E73" s="4" t="s">
        <v>372</v>
      </c>
      <c r="F73" s="4" t="s">
        <v>14</v>
      </c>
      <c r="G73" s="4" t="s">
        <v>23</v>
      </c>
      <c r="H73" s="4" t="s">
        <v>96</v>
      </c>
      <c r="I73" s="4">
        <v>1580</v>
      </c>
      <c r="J73" s="4">
        <v>5862</v>
      </c>
      <c r="K73" s="4">
        <v>3</v>
      </c>
      <c r="L73" s="4" t="b">
        <f>FALSE()</f>
        <v>0</v>
      </c>
    </row>
    <row r="74" spans="1:12" x14ac:dyDescent="0.2">
      <c r="A74" s="4" t="s">
        <v>373</v>
      </c>
      <c r="B74" s="4" t="s">
        <v>374</v>
      </c>
      <c r="C74" s="4" t="s">
        <v>375</v>
      </c>
      <c r="D74" s="4" t="s">
        <v>111</v>
      </c>
      <c r="E74" s="4" t="s">
        <v>376</v>
      </c>
      <c r="F74" s="4" t="s">
        <v>9</v>
      </c>
      <c r="G74" s="4" t="s">
        <v>22</v>
      </c>
      <c r="H74" s="4" t="s">
        <v>96</v>
      </c>
      <c r="I74" s="4">
        <v>1907</v>
      </c>
      <c r="J74" s="4">
        <v>904</v>
      </c>
      <c r="K74" s="4">
        <v>4</v>
      </c>
      <c r="L74" s="4" t="b">
        <f>FALSE()</f>
        <v>0</v>
      </c>
    </row>
    <row r="75" spans="1:12" x14ac:dyDescent="0.2">
      <c r="A75" s="4" t="s">
        <v>377</v>
      </c>
      <c r="B75" s="4" t="s">
        <v>378</v>
      </c>
      <c r="C75" s="4" t="s">
        <v>379</v>
      </c>
      <c r="D75" s="4" t="s">
        <v>111</v>
      </c>
      <c r="E75" s="4" t="s">
        <v>380</v>
      </c>
      <c r="F75" s="4" t="s">
        <v>9</v>
      </c>
      <c r="G75" s="4" t="s">
        <v>23</v>
      </c>
      <c r="H75" s="4" t="s">
        <v>125</v>
      </c>
      <c r="I75" s="4">
        <v>802</v>
      </c>
      <c r="J75" s="4">
        <v>4674</v>
      </c>
      <c r="K75" s="4">
        <v>5</v>
      </c>
      <c r="L75" s="4" t="b">
        <f>FALSE()</f>
        <v>0</v>
      </c>
    </row>
    <row r="76" spans="1:12" x14ac:dyDescent="0.2">
      <c r="A76" s="4" t="s">
        <v>381</v>
      </c>
      <c r="B76" s="4" t="s">
        <v>382</v>
      </c>
      <c r="C76" s="4" t="s">
        <v>383</v>
      </c>
      <c r="D76" s="4" t="s">
        <v>100</v>
      </c>
      <c r="E76" s="4" t="s">
        <v>244</v>
      </c>
      <c r="F76" s="4" t="s">
        <v>13</v>
      </c>
      <c r="G76" s="4" t="s">
        <v>21</v>
      </c>
      <c r="H76" s="4" t="s">
        <v>96</v>
      </c>
      <c r="I76" s="4">
        <v>2353</v>
      </c>
      <c r="J76" s="4">
        <v>1289</v>
      </c>
      <c r="K76" s="4">
        <v>4</v>
      </c>
      <c r="L76" s="4" t="b">
        <f>FALSE()</f>
        <v>0</v>
      </c>
    </row>
    <row r="77" spans="1:12" x14ac:dyDescent="0.2">
      <c r="A77" s="4" t="s">
        <v>384</v>
      </c>
      <c r="B77" s="4" t="s">
        <v>385</v>
      </c>
      <c r="C77" s="4" t="s">
        <v>386</v>
      </c>
      <c r="D77" s="4" t="s">
        <v>94</v>
      </c>
      <c r="E77" s="4" t="s">
        <v>387</v>
      </c>
      <c r="F77" s="4" t="s">
        <v>10</v>
      </c>
      <c r="G77" s="4" t="s">
        <v>24</v>
      </c>
      <c r="H77" s="4" t="s">
        <v>150</v>
      </c>
      <c r="I77" s="4">
        <v>1279</v>
      </c>
      <c r="J77" s="4">
        <v>938</v>
      </c>
      <c r="K77" s="4">
        <v>4</v>
      </c>
      <c r="L77" s="4" t="b">
        <f>FALSE()</f>
        <v>0</v>
      </c>
    </row>
    <row r="78" spans="1:12" x14ac:dyDescent="0.2">
      <c r="A78" s="4" t="s">
        <v>388</v>
      </c>
      <c r="B78" s="4" t="s">
        <v>389</v>
      </c>
      <c r="C78" s="4" t="s">
        <v>390</v>
      </c>
      <c r="D78" s="4" t="s">
        <v>88</v>
      </c>
      <c r="E78" s="4" t="s">
        <v>391</v>
      </c>
      <c r="F78" s="4" t="s">
        <v>14</v>
      </c>
      <c r="G78" s="4" t="s">
        <v>24</v>
      </c>
      <c r="H78" s="4" t="s">
        <v>125</v>
      </c>
      <c r="I78" s="4">
        <v>1830</v>
      </c>
      <c r="J78" s="4">
        <v>2996</v>
      </c>
      <c r="K78" s="4">
        <v>5</v>
      </c>
      <c r="L78" s="4" t="b">
        <f>FALSE()</f>
        <v>0</v>
      </c>
    </row>
    <row r="79" spans="1:12" x14ac:dyDescent="0.2">
      <c r="A79" s="4" t="s">
        <v>392</v>
      </c>
      <c r="B79" s="4" t="s">
        <v>393</v>
      </c>
      <c r="C79" s="4" t="s">
        <v>394</v>
      </c>
      <c r="D79" s="4" t="s">
        <v>111</v>
      </c>
      <c r="E79" s="4" t="s">
        <v>395</v>
      </c>
      <c r="F79" s="4" t="s">
        <v>10</v>
      </c>
      <c r="G79" s="4" t="s">
        <v>22</v>
      </c>
      <c r="H79" s="4" t="s">
        <v>125</v>
      </c>
      <c r="I79" s="4">
        <v>948</v>
      </c>
      <c r="J79" s="4">
        <v>5558</v>
      </c>
      <c r="K79" s="4">
        <v>4</v>
      </c>
      <c r="L79" s="4" t="b">
        <f>FALSE()</f>
        <v>0</v>
      </c>
    </row>
    <row r="80" spans="1:12" x14ac:dyDescent="0.2">
      <c r="A80" s="4" t="s">
        <v>396</v>
      </c>
      <c r="B80" s="4" t="s">
        <v>397</v>
      </c>
      <c r="C80" s="4" t="s">
        <v>398</v>
      </c>
      <c r="D80" s="4" t="s">
        <v>88</v>
      </c>
      <c r="E80" s="4" t="s">
        <v>399</v>
      </c>
      <c r="F80" s="4" t="s">
        <v>11</v>
      </c>
      <c r="G80" s="4" t="s">
        <v>23</v>
      </c>
      <c r="H80" s="4" t="s">
        <v>107</v>
      </c>
      <c r="I80" s="4">
        <v>982</v>
      </c>
      <c r="J80" s="4">
        <v>2535</v>
      </c>
      <c r="K80" s="4">
        <v>5</v>
      </c>
      <c r="L80" s="4" t="b">
        <f>FALSE()</f>
        <v>0</v>
      </c>
    </row>
    <row r="81" spans="1:12" x14ac:dyDescent="0.2">
      <c r="A81" s="4" t="s">
        <v>400</v>
      </c>
      <c r="B81" s="4" t="s">
        <v>401</v>
      </c>
      <c r="C81" s="4" t="s">
        <v>402</v>
      </c>
      <c r="D81" s="4" t="s">
        <v>100</v>
      </c>
      <c r="E81" s="4" t="s">
        <v>327</v>
      </c>
      <c r="F81" s="4" t="s">
        <v>14</v>
      </c>
      <c r="G81" s="4" t="s">
        <v>21</v>
      </c>
      <c r="H81" s="4" t="s">
        <v>125</v>
      </c>
      <c r="I81" s="4">
        <v>1285</v>
      </c>
      <c r="J81" s="4">
        <v>3572</v>
      </c>
      <c r="K81" s="4">
        <v>5</v>
      </c>
      <c r="L81" s="4" t="b">
        <f>FALSE()</f>
        <v>0</v>
      </c>
    </row>
    <row r="82" spans="1:12" x14ac:dyDescent="0.2">
      <c r="A82" s="4" t="s">
        <v>403</v>
      </c>
      <c r="B82" s="4" t="s">
        <v>140</v>
      </c>
      <c r="C82" s="4" t="s">
        <v>404</v>
      </c>
      <c r="D82" s="4" t="s">
        <v>88</v>
      </c>
      <c r="E82" s="4" t="s">
        <v>405</v>
      </c>
      <c r="F82" s="4" t="s">
        <v>9</v>
      </c>
      <c r="G82" s="4" t="s">
        <v>19</v>
      </c>
      <c r="H82" s="4" t="s">
        <v>125</v>
      </c>
      <c r="I82" s="4">
        <v>1731</v>
      </c>
      <c r="J82" s="4">
        <v>4999</v>
      </c>
      <c r="K82" s="4">
        <v>3</v>
      </c>
      <c r="L82" s="4" t="b">
        <f>FALSE()</f>
        <v>0</v>
      </c>
    </row>
    <row r="83" spans="1:12" x14ac:dyDescent="0.2">
      <c r="A83" s="4" t="s">
        <v>406</v>
      </c>
      <c r="B83" s="4" t="s">
        <v>407</v>
      </c>
      <c r="C83" s="4" t="s">
        <v>408</v>
      </c>
      <c r="D83" s="4" t="s">
        <v>111</v>
      </c>
      <c r="E83" s="4" t="s">
        <v>409</v>
      </c>
      <c r="F83" s="4" t="s">
        <v>9</v>
      </c>
      <c r="G83" s="4" t="s">
        <v>20</v>
      </c>
      <c r="H83" s="4" t="s">
        <v>125</v>
      </c>
      <c r="I83" s="4">
        <v>1262</v>
      </c>
      <c r="J83" s="4">
        <v>5306</v>
      </c>
      <c r="K83" s="4">
        <v>4</v>
      </c>
      <c r="L83" s="4" t="b">
        <f>FALSE()</f>
        <v>0</v>
      </c>
    </row>
    <row r="84" spans="1:12" x14ac:dyDescent="0.2">
      <c r="A84" s="4" t="s">
        <v>410</v>
      </c>
      <c r="B84" s="4" t="s">
        <v>411</v>
      </c>
      <c r="C84" s="4" t="s">
        <v>412</v>
      </c>
      <c r="D84" s="4" t="s">
        <v>100</v>
      </c>
      <c r="E84" s="4" t="s">
        <v>413</v>
      </c>
      <c r="F84" s="4" t="s">
        <v>11</v>
      </c>
      <c r="G84" s="4" t="s">
        <v>22</v>
      </c>
      <c r="H84" s="4" t="s">
        <v>107</v>
      </c>
      <c r="I84" s="4">
        <v>2433</v>
      </c>
      <c r="J84" s="4">
        <v>6402</v>
      </c>
      <c r="K84" s="4">
        <v>5</v>
      </c>
      <c r="L84" s="4" t="b">
        <f>FALSE()</f>
        <v>0</v>
      </c>
    </row>
    <row r="85" spans="1:12" x14ac:dyDescent="0.2">
      <c r="A85" s="4" t="s">
        <v>414</v>
      </c>
      <c r="B85" s="4" t="s">
        <v>415</v>
      </c>
      <c r="C85" s="4" t="s">
        <v>416</v>
      </c>
      <c r="D85" s="4" t="s">
        <v>137</v>
      </c>
      <c r="E85" s="4" t="s">
        <v>178</v>
      </c>
      <c r="F85" s="4" t="s">
        <v>10</v>
      </c>
      <c r="G85" s="4" t="s">
        <v>18</v>
      </c>
      <c r="H85" s="4" t="s">
        <v>90</v>
      </c>
      <c r="I85" s="4">
        <v>774</v>
      </c>
      <c r="J85" s="4">
        <v>1924</v>
      </c>
      <c r="K85" s="4">
        <v>4</v>
      </c>
      <c r="L85" s="4" t="b">
        <f>FALSE()</f>
        <v>0</v>
      </c>
    </row>
    <row r="86" spans="1:12" x14ac:dyDescent="0.2">
      <c r="A86" s="4" t="s">
        <v>417</v>
      </c>
      <c r="B86" s="4" t="s">
        <v>418</v>
      </c>
      <c r="C86" s="4" t="s">
        <v>419</v>
      </c>
      <c r="D86" s="4" t="s">
        <v>100</v>
      </c>
      <c r="E86" s="4" t="s">
        <v>420</v>
      </c>
      <c r="F86" s="4" t="s">
        <v>12</v>
      </c>
      <c r="G86" s="4" t="s">
        <v>18</v>
      </c>
      <c r="H86" s="4" t="s">
        <v>90</v>
      </c>
      <c r="I86" s="4">
        <v>2022</v>
      </c>
      <c r="J86" s="4">
        <v>4596</v>
      </c>
      <c r="K86" s="4">
        <v>5</v>
      </c>
      <c r="L86" s="4" t="b">
        <f>FALSE()</f>
        <v>0</v>
      </c>
    </row>
    <row r="87" spans="1:12" x14ac:dyDescent="0.2">
      <c r="A87" s="4" t="s">
        <v>421</v>
      </c>
      <c r="B87" s="4" t="s">
        <v>422</v>
      </c>
      <c r="C87" s="4" t="s">
        <v>423</v>
      </c>
      <c r="D87" s="4" t="s">
        <v>88</v>
      </c>
      <c r="E87" s="4" t="s">
        <v>424</v>
      </c>
      <c r="F87" s="4" t="s">
        <v>10</v>
      </c>
      <c r="G87" s="4" t="s">
        <v>19</v>
      </c>
      <c r="H87" s="4" t="s">
        <v>102</v>
      </c>
      <c r="I87" s="4">
        <v>855</v>
      </c>
      <c r="J87" s="4">
        <v>2292</v>
      </c>
      <c r="K87" s="4">
        <v>4</v>
      </c>
      <c r="L87" s="4" t="b">
        <f>FALSE()</f>
        <v>0</v>
      </c>
    </row>
    <row r="88" spans="1:12" x14ac:dyDescent="0.2">
      <c r="A88" s="4" t="s">
        <v>425</v>
      </c>
      <c r="B88" s="4" t="s">
        <v>426</v>
      </c>
      <c r="C88" s="4" t="s">
        <v>427</v>
      </c>
      <c r="D88" s="4" t="s">
        <v>133</v>
      </c>
      <c r="E88" s="4" t="s">
        <v>428</v>
      </c>
      <c r="F88" s="4" t="s">
        <v>11</v>
      </c>
      <c r="G88" s="4" t="s">
        <v>20</v>
      </c>
      <c r="H88" s="4" t="s">
        <v>107</v>
      </c>
      <c r="I88" s="4">
        <v>1808</v>
      </c>
      <c r="J88" s="4">
        <v>6078</v>
      </c>
      <c r="K88" s="4">
        <v>2</v>
      </c>
      <c r="L88" s="4" t="b">
        <f>FALSE()</f>
        <v>0</v>
      </c>
    </row>
    <row r="89" spans="1:12" x14ac:dyDescent="0.2">
      <c r="A89" s="4" t="s">
        <v>429</v>
      </c>
      <c r="B89" s="4" t="s">
        <v>430</v>
      </c>
      <c r="C89" s="4" t="s">
        <v>431</v>
      </c>
      <c r="D89" s="4" t="s">
        <v>137</v>
      </c>
      <c r="E89" s="4" t="s">
        <v>432</v>
      </c>
      <c r="F89" s="4" t="s">
        <v>9</v>
      </c>
      <c r="G89" s="4" t="s">
        <v>18</v>
      </c>
      <c r="H89" s="4" t="s">
        <v>125</v>
      </c>
      <c r="I89" s="4">
        <v>656</v>
      </c>
      <c r="J89" s="4">
        <v>4181</v>
      </c>
      <c r="K89" s="4">
        <v>5</v>
      </c>
      <c r="L89" s="4" t="b">
        <f>TRUE()</f>
        <v>1</v>
      </c>
    </row>
    <row r="90" spans="1:12" x14ac:dyDescent="0.2">
      <c r="A90" s="4" t="s">
        <v>433</v>
      </c>
      <c r="B90" s="4" t="s">
        <v>434</v>
      </c>
      <c r="C90" s="4" t="s">
        <v>435</v>
      </c>
      <c r="D90" s="4" t="s">
        <v>133</v>
      </c>
      <c r="E90" s="4" t="s">
        <v>436</v>
      </c>
      <c r="F90" s="4" t="s">
        <v>13</v>
      </c>
      <c r="G90" s="4" t="s">
        <v>24</v>
      </c>
      <c r="H90" s="4" t="s">
        <v>90</v>
      </c>
      <c r="I90" s="4">
        <v>725</v>
      </c>
      <c r="J90" s="4">
        <v>5576</v>
      </c>
      <c r="K90" s="4">
        <v>4</v>
      </c>
      <c r="L90" s="4" t="b">
        <f>FALSE()</f>
        <v>0</v>
      </c>
    </row>
    <row r="91" spans="1:12" x14ac:dyDescent="0.2">
      <c r="A91" s="4" t="s">
        <v>437</v>
      </c>
      <c r="B91" s="4" t="s">
        <v>438</v>
      </c>
      <c r="C91" s="4" t="s">
        <v>439</v>
      </c>
      <c r="D91" s="4" t="s">
        <v>88</v>
      </c>
      <c r="E91" s="4" t="s">
        <v>399</v>
      </c>
      <c r="F91" s="4" t="s">
        <v>14</v>
      </c>
      <c r="G91" s="4" t="s">
        <v>20</v>
      </c>
      <c r="H91" s="4" t="s">
        <v>102</v>
      </c>
      <c r="I91" s="4">
        <v>895</v>
      </c>
      <c r="J91" s="4">
        <v>514</v>
      </c>
      <c r="K91" s="4">
        <v>5</v>
      </c>
      <c r="L91" s="4" t="b">
        <f>FALSE()</f>
        <v>0</v>
      </c>
    </row>
    <row r="92" spans="1:12" x14ac:dyDescent="0.2">
      <c r="A92" s="4" t="s">
        <v>440</v>
      </c>
      <c r="B92" s="4" t="s">
        <v>441</v>
      </c>
      <c r="C92" s="4" t="s">
        <v>442</v>
      </c>
      <c r="D92" s="4" t="s">
        <v>133</v>
      </c>
      <c r="E92" s="4" t="s">
        <v>112</v>
      </c>
      <c r="F92" s="4" t="s">
        <v>11</v>
      </c>
      <c r="G92" s="4" t="s">
        <v>22</v>
      </c>
      <c r="H92" s="4" t="s">
        <v>102</v>
      </c>
      <c r="I92" s="4">
        <v>1061</v>
      </c>
      <c r="J92" s="4">
        <v>2345</v>
      </c>
      <c r="K92" s="4">
        <v>5</v>
      </c>
      <c r="L92" s="4" t="b">
        <f>FALSE()</f>
        <v>0</v>
      </c>
    </row>
    <row r="93" spans="1:12" x14ac:dyDescent="0.2">
      <c r="A93" s="4" t="s">
        <v>443</v>
      </c>
      <c r="B93" s="4" t="s">
        <v>444</v>
      </c>
      <c r="C93" s="4" t="s">
        <v>445</v>
      </c>
      <c r="D93" s="4" t="s">
        <v>133</v>
      </c>
      <c r="E93" s="4" t="s">
        <v>446</v>
      </c>
      <c r="F93" s="4" t="s">
        <v>10</v>
      </c>
      <c r="G93" s="4" t="s">
        <v>20</v>
      </c>
      <c r="H93" s="4" t="s">
        <v>107</v>
      </c>
      <c r="I93" s="4">
        <v>813</v>
      </c>
      <c r="J93" s="4">
        <v>5907</v>
      </c>
      <c r="K93" s="4">
        <v>5</v>
      </c>
      <c r="L93" s="4" t="b">
        <f>FALSE()</f>
        <v>0</v>
      </c>
    </row>
    <row r="94" spans="1:12" x14ac:dyDescent="0.2">
      <c r="A94" s="4" t="s">
        <v>447</v>
      </c>
      <c r="B94" s="4" t="s">
        <v>448</v>
      </c>
      <c r="C94" s="4" t="s">
        <v>449</v>
      </c>
      <c r="D94" s="4" t="s">
        <v>133</v>
      </c>
      <c r="E94" s="4" t="s">
        <v>450</v>
      </c>
      <c r="F94" s="4" t="s">
        <v>13</v>
      </c>
      <c r="G94" s="4" t="s">
        <v>20</v>
      </c>
      <c r="H94" s="4" t="s">
        <v>90</v>
      </c>
      <c r="I94" s="4">
        <v>875</v>
      </c>
      <c r="J94" s="4">
        <v>5061</v>
      </c>
      <c r="K94" s="4">
        <v>5</v>
      </c>
      <c r="L94" s="4" t="b">
        <f>FALSE()</f>
        <v>0</v>
      </c>
    </row>
    <row r="95" spans="1:12" x14ac:dyDescent="0.2">
      <c r="A95" s="4" t="s">
        <v>451</v>
      </c>
      <c r="B95" s="4" t="s">
        <v>452</v>
      </c>
      <c r="C95" s="4" t="s">
        <v>453</v>
      </c>
      <c r="D95" s="4" t="s">
        <v>111</v>
      </c>
      <c r="E95" s="4" t="s">
        <v>454</v>
      </c>
      <c r="F95" s="4" t="s">
        <v>9</v>
      </c>
      <c r="G95" s="4" t="s">
        <v>18</v>
      </c>
      <c r="H95" s="4" t="s">
        <v>125</v>
      </c>
      <c r="I95" s="4">
        <v>1898</v>
      </c>
      <c r="J95" s="4">
        <v>5561</v>
      </c>
      <c r="K95" s="4">
        <v>4</v>
      </c>
      <c r="L95" s="4" t="b">
        <f>TRUE()</f>
        <v>1</v>
      </c>
    </row>
    <row r="96" spans="1:12" x14ac:dyDescent="0.2">
      <c r="A96" s="4" t="s">
        <v>455</v>
      </c>
      <c r="B96" s="4" t="s">
        <v>456</v>
      </c>
      <c r="C96" s="4" t="s">
        <v>457</v>
      </c>
      <c r="D96" s="4" t="s">
        <v>133</v>
      </c>
      <c r="E96" s="4" t="s">
        <v>458</v>
      </c>
      <c r="F96" s="4" t="s">
        <v>10</v>
      </c>
      <c r="G96" s="4" t="s">
        <v>23</v>
      </c>
      <c r="H96" s="4" t="s">
        <v>96</v>
      </c>
      <c r="I96" s="4">
        <v>1509</v>
      </c>
      <c r="J96" s="4">
        <v>4861</v>
      </c>
      <c r="K96" s="4">
        <v>4</v>
      </c>
      <c r="L96" s="4" t="b">
        <f>FALSE()</f>
        <v>0</v>
      </c>
    </row>
    <row r="97" spans="1:12" x14ac:dyDescent="0.2">
      <c r="A97" s="4" t="s">
        <v>459</v>
      </c>
      <c r="B97" s="4" t="s">
        <v>460</v>
      </c>
      <c r="C97" s="4" t="s">
        <v>461</v>
      </c>
      <c r="D97" s="4" t="s">
        <v>94</v>
      </c>
      <c r="E97" s="4" t="s">
        <v>95</v>
      </c>
      <c r="F97" s="4" t="s">
        <v>10</v>
      </c>
      <c r="G97" s="4" t="s">
        <v>20</v>
      </c>
      <c r="H97" s="4" t="s">
        <v>96</v>
      </c>
      <c r="I97" s="4">
        <v>1915</v>
      </c>
      <c r="J97" s="4">
        <v>2400</v>
      </c>
      <c r="K97" s="4">
        <v>5</v>
      </c>
      <c r="L97" s="4" t="b">
        <f>FALSE()</f>
        <v>0</v>
      </c>
    </row>
    <row r="98" spans="1:12" x14ac:dyDescent="0.2">
      <c r="A98" s="4" t="s">
        <v>462</v>
      </c>
      <c r="B98" s="4" t="s">
        <v>463</v>
      </c>
      <c r="C98" s="4" t="s">
        <v>464</v>
      </c>
      <c r="D98" s="4" t="s">
        <v>94</v>
      </c>
      <c r="E98" s="4" t="s">
        <v>210</v>
      </c>
      <c r="F98" s="4" t="s">
        <v>9</v>
      </c>
      <c r="G98" s="4" t="s">
        <v>21</v>
      </c>
      <c r="H98" s="4" t="s">
        <v>107</v>
      </c>
      <c r="I98" s="4">
        <v>922</v>
      </c>
      <c r="J98" s="4">
        <v>888</v>
      </c>
      <c r="K98" s="4">
        <v>1</v>
      </c>
      <c r="L98" s="4" t="b">
        <f>FALSE()</f>
        <v>0</v>
      </c>
    </row>
    <row r="99" spans="1:12" x14ac:dyDescent="0.2">
      <c r="A99" s="4" t="s">
        <v>465</v>
      </c>
      <c r="B99" s="4" t="s">
        <v>466</v>
      </c>
      <c r="C99" s="4" t="s">
        <v>467</v>
      </c>
      <c r="D99" s="4" t="s">
        <v>94</v>
      </c>
      <c r="E99" s="4" t="s">
        <v>468</v>
      </c>
      <c r="F99" s="4" t="s">
        <v>11</v>
      </c>
      <c r="G99" s="4" t="s">
        <v>18</v>
      </c>
      <c r="H99" s="4" t="s">
        <v>107</v>
      </c>
      <c r="I99" s="4">
        <v>943</v>
      </c>
      <c r="J99" s="4">
        <v>549</v>
      </c>
      <c r="K99" s="4">
        <v>5</v>
      </c>
      <c r="L99" s="4" t="b">
        <f>FALSE()</f>
        <v>0</v>
      </c>
    </row>
    <row r="100" spans="1:12" x14ac:dyDescent="0.2">
      <c r="A100" s="4" t="s">
        <v>469</v>
      </c>
      <c r="B100" s="4" t="s">
        <v>470</v>
      </c>
      <c r="C100" s="4" t="s">
        <v>471</v>
      </c>
      <c r="D100" s="4" t="s">
        <v>94</v>
      </c>
      <c r="E100" s="4" t="s">
        <v>472</v>
      </c>
      <c r="F100" s="4" t="s">
        <v>14</v>
      </c>
      <c r="G100" s="4" t="s">
        <v>22</v>
      </c>
      <c r="H100" s="4" t="s">
        <v>96</v>
      </c>
      <c r="I100" s="4">
        <v>1518</v>
      </c>
      <c r="J100" s="4">
        <v>1925</v>
      </c>
      <c r="K100" s="4">
        <v>5</v>
      </c>
      <c r="L100" s="4" t="b">
        <f>FALSE()</f>
        <v>0</v>
      </c>
    </row>
    <row r="101" spans="1:12" x14ac:dyDescent="0.2">
      <c r="A101" s="4" t="s">
        <v>473</v>
      </c>
      <c r="B101" s="4" t="s">
        <v>474</v>
      </c>
      <c r="C101" s="4" t="s">
        <v>475</v>
      </c>
      <c r="D101" s="4" t="s">
        <v>133</v>
      </c>
      <c r="E101" s="4" t="s">
        <v>476</v>
      </c>
      <c r="F101" s="4" t="s">
        <v>10</v>
      </c>
      <c r="G101" s="4" t="s">
        <v>22</v>
      </c>
      <c r="H101" s="4" t="s">
        <v>125</v>
      </c>
      <c r="I101" s="4">
        <v>1275</v>
      </c>
      <c r="J101" s="4">
        <v>4557</v>
      </c>
      <c r="K101" s="4">
        <v>4</v>
      </c>
      <c r="L101" s="4" t="b">
        <f>FALSE()</f>
        <v>0</v>
      </c>
    </row>
    <row r="102" spans="1:12" x14ac:dyDescent="0.2">
      <c r="A102" s="4" t="s">
        <v>477</v>
      </c>
      <c r="B102" s="4" t="s">
        <v>478</v>
      </c>
      <c r="C102" s="4" t="s">
        <v>479</v>
      </c>
      <c r="D102" s="4" t="s">
        <v>100</v>
      </c>
      <c r="E102" s="4" t="s">
        <v>158</v>
      </c>
      <c r="F102" s="4" t="s">
        <v>13</v>
      </c>
      <c r="G102" s="4" t="s">
        <v>22</v>
      </c>
      <c r="H102" s="4" t="s">
        <v>90</v>
      </c>
      <c r="I102" s="4">
        <v>1004</v>
      </c>
      <c r="J102" s="4">
        <v>5227</v>
      </c>
      <c r="K102" s="4">
        <v>3</v>
      </c>
      <c r="L102" s="4" t="b">
        <f>FALSE()</f>
        <v>0</v>
      </c>
    </row>
    <row r="103" spans="1:12" x14ac:dyDescent="0.2">
      <c r="A103" s="4" t="s">
        <v>480</v>
      </c>
      <c r="B103" s="4" t="s">
        <v>481</v>
      </c>
      <c r="C103" s="4" t="s">
        <v>482</v>
      </c>
      <c r="D103" s="4" t="s">
        <v>100</v>
      </c>
      <c r="E103" s="4" t="s">
        <v>174</v>
      </c>
      <c r="F103" s="4" t="s">
        <v>11</v>
      </c>
      <c r="G103" s="4" t="s">
        <v>18</v>
      </c>
      <c r="H103" s="4" t="s">
        <v>102</v>
      </c>
      <c r="I103" s="4">
        <v>1148</v>
      </c>
      <c r="J103" s="4">
        <v>1933</v>
      </c>
      <c r="K103" s="4">
        <v>5</v>
      </c>
      <c r="L103" s="4" t="b">
        <f>FALSE()</f>
        <v>0</v>
      </c>
    </row>
    <row r="104" spans="1:12" x14ac:dyDescent="0.2">
      <c r="A104" s="4" t="s">
        <v>483</v>
      </c>
      <c r="B104" s="4" t="s">
        <v>484</v>
      </c>
      <c r="C104" s="4" t="s">
        <v>485</v>
      </c>
      <c r="D104" s="4" t="s">
        <v>137</v>
      </c>
      <c r="E104" s="4" t="s">
        <v>486</v>
      </c>
      <c r="F104" s="4" t="s">
        <v>9</v>
      </c>
      <c r="G104" s="4" t="s">
        <v>21</v>
      </c>
      <c r="H104" s="4" t="s">
        <v>102</v>
      </c>
      <c r="I104" s="4">
        <v>1228</v>
      </c>
      <c r="J104" s="4">
        <v>3279</v>
      </c>
      <c r="K104" s="4">
        <v>5</v>
      </c>
      <c r="L104" s="4" t="b">
        <f>FALSE()</f>
        <v>0</v>
      </c>
    </row>
    <row r="105" spans="1:12" x14ac:dyDescent="0.2">
      <c r="A105" s="4" t="s">
        <v>487</v>
      </c>
      <c r="B105" s="4" t="s">
        <v>309</v>
      </c>
      <c r="C105" s="4" t="s">
        <v>488</v>
      </c>
      <c r="D105" s="4" t="s">
        <v>100</v>
      </c>
      <c r="E105" s="4" t="s">
        <v>489</v>
      </c>
      <c r="F105" s="4" t="s">
        <v>9</v>
      </c>
      <c r="G105" s="4" t="s">
        <v>21</v>
      </c>
      <c r="H105" s="4" t="s">
        <v>150</v>
      </c>
      <c r="I105" s="4">
        <v>1632</v>
      </c>
      <c r="J105" s="4">
        <v>4094</v>
      </c>
      <c r="K105" s="4">
        <v>2</v>
      </c>
      <c r="L105" s="4" t="b">
        <f>FALSE()</f>
        <v>0</v>
      </c>
    </row>
    <row r="106" spans="1:12" x14ac:dyDescent="0.2">
      <c r="A106" s="4" t="s">
        <v>490</v>
      </c>
      <c r="B106" s="4" t="s">
        <v>491</v>
      </c>
      <c r="C106" s="4" t="s">
        <v>492</v>
      </c>
      <c r="D106" s="4" t="s">
        <v>133</v>
      </c>
      <c r="E106" s="4" t="s">
        <v>493</v>
      </c>
      <c r="F106" s="4" t="s">
        <v>11</v>
      </c>
      <c r="G106" s="4" t="s">
        <v>23</v>
      </c>
      <c r="H106" s="4" t="s">
        <v>125</v>
      </c>
      <c r="I106" s="4">
        <v>1389</v>
      </c>
      <c r="J106" s="4">
        <v>3440</v>
      </c>
      <c r="K106" s="4">
        <v>5</v>
      </c>
      <c r="L106" s="4" t="b">
        <f>FALSE()</f>
        <v>0</v>
      </c>
    </row>
    <row r="107" spans="1:12" x14ac:dyDescent="0.2">
      <c r="A107" s="4" t="s">
        <v>494</v>
      </c>
      <c r="B107" s="4" t="s">
        <v>254</v>
      </c>
      <c r="C107" s="4" t="s">
        <v>495</v>
      </c>
      <c r="D107" s="4" t="s">
        <v>111</v>
      </c>
      <c r="E107" s="4" t="s">
        <v>496</v>
      </c>
      <c r="F107" s="4" t="s">
        <v>11</v>
      </c>
      <c r="G107" s="4" t="s">
        <v>18</v>
      </c>
      <c r="H107" s="4" t="s">
        <v>107</v>
      </c>
      <c r="I107" s="4">
        <v>935</v>
      </c>
      <c r="J107" s="4">
        <v>469</v>
      </c>
      <c r="K107" s="4">
        <v>3</v>
      </c>
      <c r="L107" s="4" t="b">
        <f>FALSE()</f>
        <v>0</v>
      </c>
    </row>
    <row r="108" spans="1:12" x14ac:dyDescent="0.2">
      <c r="A108" s="4" t="s">
        <v>497</v>
      </c>
      <c r="B108" s="4" t="s">
        <v>393</v>
      </c>
      <c r="C108" s="4" t="s">
        <v>498</v>
      </c>
      <c r="D108" s="4" t="s">
        <v>100</v>
      </c>
      <c r="E108" s="4" t="s">
        <v>499</v>
      </c>
      <c r="F108" s="4" t="s">
        <v>9</v>
      </c>
      <c r="G108" s="4" t="s">
        <v>21</v>
      </c>
      <c r="H108" s="4" t="s">
        <v>102</v>
      </c>
      <c r="I108" s="4">
        <v>1327</v>
      </c>
      <c r="J108" s="4">
        <v>3577</v>
      </c>
      <c r="K108" s="4">
        <v>5</v>
      </c>
      <c r="L108" s="4" t="b">
        <f>FALSE()</f>
        <v>0</v>
      </c>
    </row>
    <row r="109" spans="1:12" x14ac:dyDescent="0.2">
      <c r="A109" s="4" t="s">
        <v>500</v>
      </c>
      <c r="B109" s="4" t="s">
        <v>501</v>
      </c>
      <c r="C109" s="4" t="s">
        <v>502</v>
      </c>
      <c r="D109" s="4" t="s">
        <v>137</v>
      </c>
      <c r="E109" s="4" t="s">
        <v>503</v>
      </c>
      <c r="F109" s="4" t="s">
        <v>11</v>
      </c>
      <c r="G109" s="4" t="s">
        <v>21</v>
      </c>
      <c r="H109" s="4" t="s">
        <v>96</v>
      </c>
      <c r="I109" s="4">
        <v>3306</v>
      </c>
      <c r="J109" s="4">
        <v>4587</v>
      </c>
      <c r="K109" s="4">
        <v>4</v>
      </c>
      <c r="L109" s="4" t="b">
        <f>FALSE()</f>
        <v>0</v>
      </c>
    </row>
    <row r="110" spans="1:12" x14ac:dyDescent="0.2">
      <c r="A110" s="4" t="s">
        <v>504</v>
      </c>
      <c r="B110" s="4" t="s">
        <v>505</v>
      </c>
      <c r="C110" s="4" t="s">
        <v>506</v>
      </c>
      <c r="D110" s="4" t="s">
        <v>94</v>
      </c>
      <c r="E110" s="4" t="s">
        <v>182</v>
      </c>
      <c r="F110" s="4" t="s">
        <v>13</v>
      </c>
      <c r="G110" s="4" t="s">
        <v>24</v>
      </c>
      <c r="H110" s="4" t="s">
        <v>107</v>
      </c>
      <c r="I110" s="4">
        <v>639</v>
      </c>
      <c r="J110" s="4">
        <v>5872</v>
      </c>
      <c r="K110" s="4">
        <v>3</v>
      </c>
      <c r="L110" s="4" t="b">
        <f>FALSE()</f>
        <v>0</v>
      </c>
    </row>
    <row r="111" spans="1:12" x14ac:dyDescent="0.2">
      <c r="A111" s="4" t="s">
        <v>507</v>
      </c>
      <c r="B111" s="4" t="s">
        <v>359</v>
      </c>
      <c r="C111" s="4" t="s">
        <v>508</v>
      </c>
      <c r="D111" s="4" t="s">
        <v>94</v>
      </c>
      <c r="E111" s="4" t="s">
        <v>186</v>
      </c>
      <c r="F111" s="4" t="s">
        <v>9</v>
      </c>
      <c r="G111" s="4" t="s">
        <v>23</v>
      </c>
      <c r="H111" s="4" t="s">
        <v>90</v>
      </c>
      <c r="I111" s="4">
        <v>1057</v>
      </c>
      <c r="J111" s="4">
        <v>5606</v>
      </c>
      <c r="K111" s="4">
        <v>4</v>
      </c>
      <c r="L111" s="4" t="b">
        <f>FALSE()</f>
        <v>0</v>
      </c>
    </row>
    <row r="112" spans="1:12" x14ac:dyDescent="0.2">
      <c r="A112" s="4" t="s">
        <v>509</v>
      </c>
      <c r="B112" s="4" t="s">
        <v>122</v>
      </c>
      <c r="C112" s="4" t="s">
        <v>510</v>
      </c>
      <c r="D112" s="4" t="s">
        <v>111</v>
      </c>
      <c r="E112" s="4" t="s">
        <v>511</v>
      </c>
      <c r="F112" s="4" t="s">
        <v>13</v>
      </c>
      <c r="G112" s="4" t="s">
        <v>18</v>
      </c>
      <c r="H112" s="4" t="s">
        <v>150</v>
      </c>
      <c r="I112" s="4">
        <v>820</v>
      </c>
      <c r="J112" s="4">
        <v>2394</v>
      </c>
      <c r="K112" s="4">
        <v>5</v>
      </c>
      <c r="L112" s="4" t="b">
        <f>FALSE()</f>
        <v>0</v>
      </c>
    </row>
    <row r="113" spans="1:12" x14ac:dyDescent="0.2">
      <c r="A113" s="4" t="s">
        <v>512</v>
      </c>
      <c r="B113" s="4" t="s">
        <v>305</v>
      </c>
      <c r="C113" s="4" t="s">
        <v>513</v>
      </c>
      <c r="D113" s="4" t="s">
        <v>133</v>
      </c>
      <c r="E113" s="4" t="s">
        <v>514</v>
      </c>
      <c r="F113" s="4" t="s">
        <v>9</v>
      </c>
      <c r="G113" s="4" t="s">
        <v>22</v>
      </c>
      <c r="H113" s="4" t="s">
        <v>150</v>
      </c>
      <c r="I113" s="4">
        <v>2711</v>
      </c>
      <c r="J113" s="4">
        <v>5052</v>
      </c>
      <c r="K113" s="4">
        <v>4</v>
      </c>
      <c r="L113" s="4" t="b">
        <f>FALSE()</f>
        <v>0</v>
      </c>
    </row>
    <row r="114" spans="1:12" x14ac:dyDescent="0.2">
      <c r="A114" s="4" t="s">
        <v>515</v>
      </c>
      <c r="B114" s="4" t="s">
        <v>516</v>
      </c>
      <c r="C114" s="4" t="s">
        <v>517</v>
      </c>
      <c r="D114" s="4" t="s">
        <v>88</v>
      </c>
      <c r="E114" s="4" t="s">
        <v>518</v>
      </c>
      <c r="F114" s="4" t="s">
        <v>13</v>
      </c>
      <c r="G114" s="4" t="s">
        <v>21</v>
      </c>
      <c r="H114" s="4" t="s">
        <v>90</v>
      </c>
      <c r="I114" s="4">
        <v>1315</v>
      </c>
      <c r="J114" s="4">
        <v>525</v>
      </c>
      <c r="K114" s="4">
        <v>3</v>
      </c>
      <c r="L114" s="4" t="b">
        <f>FALSE()</f>
        <v>0</v>
      </c>
    </row>
    <row r="115" spans="1:12" x14ac:dyDescent="0.2">
      <c r="A115" s="4" t="s">
        <v>519</v>
      </c>
      <c r="B115" s="4" t="s">
        <v>520</v>
      </c>
      <c r="C115" s="4" t="s">
        <v>521</v>
      </c>
      <c r="D115" s="4" t="s">
        <v>137</v>
      </c>
      <c r="E115" s="4" t="s">
        <v>186</v>
      </c>
      <c r="F115" s="4" t="s">
        <v>10</v>
      </c>
      <c r="G115" s="4" t="s">
        <v>23</v>
      </c>
      <c r="H115" s="4" t="s">
        <v>102</v>
      </c>
      <c r="I115" s="4">
        <v>965</v>
      </c>
      <c r="J115" s="4">
        <v>3447</v>
      </c>
      <c r="K115" s="4">
        <v>3</v>
      </c>
      <c r="L115" s="4" t="b">
        <f>FALSE()</f>
        <v>0</v>
      </c>
    </row>
    <row r="116" spans="1:12" x14ac:dyDescent="0.2">
      <c r="A116" s="4" t="s">
        <v>522</v>
      </c>
      <c r="B116" s="4" t="s">
        <v>523</v>
      </c>
      <c r="C116" s="4" t="s">
        <v>524</v>
      </c>
      <c r="D116" s="4" t="s">
        <v>94</v>
      </c>
      <c r="E116" s="4" t="s">
        <v>525</v>
      </c>
      <c r="F116" s="4" t="s">
        <v>13</v>
      </c>
      <c r="G116" s="4" t="s">
        <v>18</v>
      </c>
      <c r="H116" s="4" t="s">
        <v>96</v>
      </c>
      <c r="I116" s="4">
        <v>897</v>
      </c>
      <c r="J116" s="4">
        <v>4755</v>
      </c>
      <c r="K116" s="4">
        <v>3</v>
      </c>
      <c r="L116" s="4" t="b">
        <f>FALSE()</f>
        <v>0</v>
      </c>
    </row>
    <row r="117" spans="1:12" x14ac:dyDescent="0.2">
      <c r="A117" s="4" t="s">
        <v>526</v>
      </c>
      <c r="B117" s="4" t="s">
        <v>527</v>
      </c>
      <c r="C117" s="4" t="s">
        <v>528</v>
      </c>
      <c r="D117" s="4" t="s">
        <v>133</v>
      </c>
      <c r="E117" s="4" t="s">
        <v>158</v>
      </c>
      <c r="F117" s="4" t="s">
        <v>13</v>
      </c>
      <c r="G117" s="4" t="s">
        <v>19</v>
      </c>
      <c r="H117" s="4" t="s">
        <v>96</v>
      </c>
      <c r="I117" s="4">
        <v>1382</v>
      </c>
      <c r="J117" s="4">
        <v>1837</v>
      </c>
      <c r="K117" s="4">
        <v>4</v>
      </c>
      <c r="L117" s="4" t="b">
        <f>FALSE()</f>
        <v>0</v>
      </c>
    </row>
    <row r="118" spans="1:12" x14ac:dyDescent="0.2">
      <c r="A118" s="4" t="s">
        <v>529</v>
      </c>
      <c r="B118" s="4" t="s">
        <v>530</v>
      </c>
      <c r="C118" s="4" t="s">
        <v>531</v>
      </c>
      <c r="D118" s="4" t="s">
        <v>133</v>
      </c>
      <c r="E118" s="4" t="s">
        <v>532</v>
      </c>
      <c r="F118" s="4" t="s">
        <v>10</v>
      </c>
      <c r="G118" s="4" t="s">
        <v>20</v>
      </c>
      <c r="H118" s="4" t="s">
        <v>102</v>
      </c>
      <c r="I118" s="4">
        <v>905</v>
      </c>
      <c r="J118" s="4">
        <v>1577</v>
      </c>
      <c r="K118" s="4">
        <v>2</v>
      </c>
      <c r="L118" s="4" t="b">
        <f>FALSE()</f>
        <v>0</v>
      </c>
    </row>
    <row r="119" spans="1:12" x14ac:dyDescent="0.2">
      <c r="A119" s="4" t="s">
        <v>533</v>
      </c>
      <c r="B119" s="4" t="s">
        <v>534</v>
      </c>
      <c r="C119" s="4" t="s">
        <v>535</v>
      </c>
      <c r="D119" s="4" t="s">
        <v>133</v>
      </c>
      <c r="E119" s="4" t="s">
        <v>536</v>
      </c>
      <c r="F119" s="4" t="s">
        <v>11</v>
      </c>
      <c r="G119" s="4" t="s">
        <v>24</v>
      </c>
      <c r="H119" s="4" t="s">
        <v>125</v>
      </c>
      <c r="I119" s="4">
        <v>1548</v>
      </c>
      <c r="J119" s="4">
        <v>3855</v>
      </c>
      <c r="K119" s="4">
        <v>5</v>
      </c>
      <c r="L119" s="4" t="b">
        <f>FALSE()</f>
        <v>0</v>
      </c>
    </row>
    <row r="120" spans="1:12" x14ac:dyDescent="0.2">
      <c r="A120" s="4" t="s">
        <v>537</v>
      </c>
      <c r="B120" s="4" t="s">
        <v>246</v>
      </c>
      <c r="C120" s="4" t="s">
        <v>538</v>
      </c>
      <c r="D120" s="4" t="s">
        <v>100</v>
      </c>
      <c r="E120" s="4" t="s">
        <v>182</v>
      </c>
      <c r="F120" s="4" t="s">
        <v>13</v>
      </c>
      <c r="G120" s="4" t="s">
        <v>18</v>
      </c>
      <c r="H120" s="4" t="s">
        <v>102</v>
      </c>
      <c r="I120" s="4">
        <v>1556</v>
      </c>
      <c r="J120" s="4">
        <v>2721</v>
      </c>
      <c r="K120" s="4">
        <v>5</v>
      </c>
      <c r="L120" s="4" t="b">
        <f>FALSE()</f>
        <v>0</v>
      </c>
    </row>
    <row r="121" spans="1:12" x14ac:dyDescent="0.2">
      <c r="A121" s="4" t="s">
        <v>539</v>
      </c>
      <c r="B121" s="4" t="s">
        <v>540</v>
      </c>
      <c r="C121" s="4" t="s">
        <v>541</v>
      </c>
      <c r="D121" s="4" t="s">
        <v>88</v>
      </c>
      <c r="E121" s="4" t="s">
        <v>542</v>
      </c>
      <c r="F121" s="4" t="s">
        <v>11</v>
      </c>
      <c r="G121" s="4" t="s">
        <v>19</v>
      </c>
      <c r="H121" s="4" t="s">
        <v>90</v>
      </c>
      <c r="I121" s="4">
        <v>2729</v>
      </c>
      <c r="J121" s="4">
        <v>2343</v>
      </c>
      <c r="K121" s="4">
        <v>2</v>
      </c>
      <c r="L121" s="4" t="b">
        <f>FALSE()</f>
        <v>0</v>
      </c>
    </row>
    <row r="122" spans="1:12" x14ac:dyDescent="0.2">
      <c r="A122" s="4" t="s">
        <v>543</v>
      </c>
      <c r="B122" s="4" t="s">
        <v>250</v>
      </c>
      <c r="C122" s="4" t="s">
        <v>544</v>
      </c>
      <c r="D122" s="4" t="s">
        <v>133</v>
      </c>
      <c r="E122" s="4" t="s">
        <v>327</v>
      </c>
      <c r="F122" s="4" t="s">
        <v>11</v>
      </c>
      <c r="G122" s="4" t="s">
        <v>21</v>
      </c>
      <c r="H122" s="4" t="s">
        <v>102</v>
      </c>
      <c r="I122" s="4">
        <v>891</v>
      </c>
      <c r="J122" s="4">
        <v>5882</v>
      </c>
      <c r="K122" s="4">
        <v>3</v>
      </c>
      <c r="L122" s="4" t="b">
        <f>FALSE()</f>
        <v>0</v>
      </c>
    </row>
    <row r="123" spans="1:12" x14ac:dyDescent="0.2">
      <c r="A123" s="4" t="s">
        <v>545</v>
      </c>
      <c r="B123" s="4" t="s">
        <v>546</v>
      </c>
      <c r="C123" s="4" t="s">
        <v>547</v>
      </c>
      <c r="D123" s="4" t="s">
        <v>137</v>
      </c>
      <c r="E123" s="4" t="s">
        <v>116</v>
      </c>
      <c r="F123" s="4" t="s">
        <v>13</v>
      </c>
      <c r="G123" s="4" t="s">
        <v>18</v>
      </c>
      <c r="H123" s="4" t="s">
        <v>125</v>
      </c>
      <c r="I123" s="4">
        <v>1146</v>
      </c>
      <c r="J123" s="4">
        <v>2857</v>
      </c>
      <c r="K123" s="4">
        <v>5</v>
      </c>
      <c r="L123" s="4" t="b">
        <f>FALSE()</f>
        <v>0</v>
      </c>
    </row>
    <row r="124" spans="1:12" x14ac:dyDescent="0.2">
      <c r="A124" s="4" t="s">
        <v>548</v>
      </c>
      <c r="B124" s="4" t="s">
        <v>549</v>
      </c>
      <c r="C124" s="4" t="s">
        <v>550</v>
      </c>
      <c r="D124" s="4" t="s">
        <v>137</v>
      </c>
      <c r="E124" s="4" t="s">
        <v>252</v>
      </c>
      <c r="F124" s="4" t="s">
        <v>9</v>
      </c>
      <c r="G124" s="4" t="s">
        <v>22</v>
      </c>
      <c r="H124" s="4" t="s">
        <v>150</v>
      </c>
      <c r="I124" s="4">
        <v>1028</v>
      </c>
      <c r="J124" s="4">
        <v>4096</v>
      </c>
      <c r="K124" s="4">
        <v>5</v>
      </c>
      <c r="L124" s="4" t="b">
        <f>TRUE()</f>
        <v>1</v>
      </c>
    </row>
    <row r="125" spans="1:12" x14ac:dyDescent="0.2">
      <c r="A125" s="4" t="s">
        <v>551</v>
      </c>
      <c r="B125" s="4" t="s">
        <v>552</v>
      </c>
      <c r="C125" s="4" t="s">
        <v>553</v>
      </c>
      <c r="D125" s="4" t="s">
        <v>111</v>
      </c>
      <c r="E125" s="4" t="s">
        <v>554</v>
      </c>
      <c r="F125" s="4" t="s">
        <v>14</v>
      </c>
      <c r="G125" s="4" t="s">
        <v>20</v>
      </c>
      <c r="H125" s="4" t="s">
        <v>90</v>
      </c>
      <c r="I125" s="4">
        <v>1546</v>
      </c>
      <c r="J125" s="4">
        <v>2190</v>
      </c>
      <c r="K125" s="4">
        <v>5</v>
      </c>
      <c r="L125" s="4" t="b">
        <f>FALSE()</f>
        <v>0</v>
      </c>
    </row>
    <row r="126" spans="1:12" x14ac:dyDescent="0.2">
      <c r="A126" s="4" t="s">
        <v>555</v>
      </c>
      <c r="B126" s="4" t="s">
        <v>556</v>
      </c>
      <c r="C126" s="4" t="s">
        <v>557</v>
      </c>
      <c r="D126" s="4" t="s">
        <v>100</v>
      </c>
      <c r="E126" s="4" t="s">
        <v>558</v>
      </c>
      <c r="F126" s="4" t="s">
        <v>10</v>
      </c>
      <c r="G126" s="4" t="s">
        <v>18</v>
      </c>
      <c r="H126" s="4" t="s">
        <v>90</v>
      </c>
      <c r="I126" s="4">
        <v>1325</v>
      </c>
      <c r="J126" s="4">
        <v>2398</v>
      </c>
      <c r="K126" s="4">
        <v>4</v>
      </c>
      <c r="L126" s="4" t="b">
        <f>FALSE()</f>
        <v>0</v>
      </c>
    </row>
    <row r="127" spans="1:12" x14ac:dyDescent="0.2">
      <c r="A127" s="4" t="s">
        <v>559</v>
      </c>
      <c r="B127" s="4" t="s">
        <v>560</v>
      </c>
      <c r="C127" s="4" t="s">
        <v>561</v>
      </c>
      <c r="D127" s="4" t="s">
        <v>100</v>
      </c>
      <c r="E127" s="4" t="s">
        <v>562</v>
      </c>
      <c r="F127" s="4" t="s">
        <v>11</v>
      </c>
      <c r="G127" s="4" t="s">
        <v>23</v>
      </c>
      <c r="H127" s="4" t="s">
        <v>96</v>
      </c>
      <c r="I127" s="4">
        <v>1109</v>
      </c>
      <c r="J127" s="4">
        <v>987</v>
      </c>
      <c r="K127" s="4">
        <v>5</v>
      </c>
      <c r="L127" s="4" t="b">
        <f>FALSE()</f>
        <v>0</v>
      </c>
    </row>
    <row r="128" spans="1:12" x14ac:dyDescent="0.2">
      <c r="A128" s="4" t="s">
        <v>563</v>
      </c>
      <c r="B128" s="4" t="s">
        <v>564</v>
      </c>
      <c r="C128" s="4" t="s">
        <v>565</v>
      </c>
      <c r="D128" s="4" t="s">
        <v>111</v>
      </c>
      <c r="E128" s="4" t="s">
        <v>566</v>
      </c>
      <c r="F128" s="4" t="s">
        <v>14</v>
      </c>
      <c r="G128" s="4" t="s">
        <v>23</v>
      </c>
      <c r="H128" s="4" t="s">
        <v>96</v>
      </c>
      <c r="I128" s="4">
        <v>753</v>
      </c>
      <c r="J128" s="4">
        <v>3306</v>
      </c>
      <c r="K128" s="4">
        <v>4</v>
      </c>
      <c r="L128" s="4" t="b">
        <f>FALSE()</f>
        <v>0</v>
      </c>
    </row>
    <row r="129" spans="1:12" x14ac:dyDescent="0.2">
      <c r="A129" s="4" t="s">
        <v>567</v>
      </c>
      <c r="B129" s="4" t="s">
        <v>568</v>
      </c>
      <c r="C129" s="4" t="s">
        <v>569</v>
      </c>
      <c r="D129" s="4" t="s">
        <v>94</v>
      </c>
      <c r="E129" s="4" t="s">
        <v>95</v>
      </c>
      <c r="F129" s="4" t="s">
        <v>14</v>
      </c>
      <c r="G129" s="4" t="s">
        <v>21</v>
      </c>
      <c r="H129" s="4" t="s">
        <v>102</v>
      </c>
      <c r="I129" s="4">
        <v>2657</v>
      </c>
      <c r="J129" s="4">
        <v>5292</v>
      </c>
      <c r="K129" s="4">
        <v>5</v>
      </c>
      <c r="L129" s="4" t="b">
        <f>FALSE()</f>
        <v>0</v>
      </c>
    </row>
    <row r="130" spans="1:12" x14ac:dyDescent="0.2">
      <c r="A130" s="4" t="s">
        <v>570</v>
      </c>
      <c r="B130" s="4" t="s">
        <v>571</v>
      </c>
      <c r="C130" s="4" t="s">
        <v>572</v>
      </c>
      <c r="D130" s="4" t="s">
        <v>133</v>
      </c>
      <c r="E130" s="4" t="s">
        <v>436</v>
      </c>
      <c r="F130" s="4" t="s">
        <v>13</v>
      </c>
      <c r="G130" s="4" t="s">
        <v>19</v>
      </c>
      <c r="H130" s="4" t="s">
        <v>90</v>
      </c>
      <c r="I130" s="4">
        <v>1363</v>
      </c>
      <c r="J130" s="4">
        <v>456</v>
      </c>
      <c r="K130" s="4">
        <v>5</v>
      </c>
      <c r="L130" s="4" t="b">
        <f>FALSE()</f>
        <v>0</v>
      </c>
    </row>
    <row r="131" spans="1:12" x14ac:dyDescent="0.2">
      <c r="A131" s="4" t="s">
        <v>573</v>
      </c>
      <c r="B131" s="4" t="s">
        <v>574</v>
      </c>
      <c r="C131" s="4" t="s">
        <v>575</v>
      </c>
      <c r="D131" s="4" t="s">
        <v>133</v>
      </c>
      <c r="E131" s="4" t="s">
        <v>576</v>
      </c>
      <c r="F131" s="4" t="s">
        <v>13</v>
      </c>
      <c r="G131" s="4" t="s">
        <v>21</v>
      </c>
      <c r="H131" s="4" t="s">
        <v>107</v>
      </c>
      <c r="I131" s="4">
        <v>2306</v>
      </c>
      <c r="J131" s="4">
        <v>3673</v>
      </c>
      <c r="K131" s="4">
        <v>3</v>
      </c>
      <c r="L131" s="4" t="b">
        <f>FALSE()</f>
        <v>0</v>
      </c>
    </row>
    <row r="132" spans="1:12" x14ac:dyDescent="0.2">
      <c r="A132" s="4" t="s">
        <v>577</v>
      </c>
      <c r="B132" s="4" t="s">
        <v>578</v>
      </c>
      <c r="C132" s="4" t="s">
        <v>579</v>
      </c>
      <c r="D132" s="4" t="s">
        <v>88</v>
      </c>
      <c r="E132" s="4" t="s">
        <v>580</v>
      </c>
      <c r="F132" s="4" t="s">
        <v>14</v>
      </c>
      <c r="G132" s="4" t="s">
        <v>18</v>
      </c>
      <c r="H132" s="4" t="s">
        <v>150</v>
      </c>
      <c r="I132" s="4">
        <v>1187</v>
      </c>
      <c r="J132" s="4">
        <v>4761</v>
      </c>
      <c r="K132" s="4">
        <v>5</v>
      </c>
      <c r="L132" s="4" t="b">
        <f>FALSE()</f>
        <v>0</v>
      </c>
    </row>
    <row r="133" spans="1:12" x14ac:dyDescent="0.2">
      <c r="A133" s="4" t="s">
        <v>581</v>
      </c>
      <c r="B133" s="4" t="s">
        <v>393</v>
      </c>
      <c r="C133" s="4" t="s">
        <v>582</v>
      </c>
      <c r="D133" s="4" t="s">
        <v>137</v>
      </c>
      <c r="E133" s="4" t="s">
        <v>583</v>
      </c>
      <c r="F133" s="4" t="s">
        <v>10</v>
      </c>
      <c r="G133" s="4" t="s">
        <v>22</v>
      </c>
      <c r="H133" s="4" t="s">
        <v>102</v>
      </c>
      <c r="I133" s="4">
        <v>1998</v>
      </c>
      <c r="J133" s="4">
        <v>4550</v>
      </c>
      <c r="K133" s="4">
        <v>5</v>
      </c>
      <c r="L133" s="4" t="b">
        <f>FALSE()</f>
        <v>0</v>
      </c>
    </row>
    <row r="134" spans="1:12" x14ac:dyDescent="0.2">
      <c r="A134" s="4" t="s">
        <v>584</v>
      </c>
      <c r="B134" s="4" t="s">
        <v>585</v>
      </c>
      <c r="C134" s="4" t="s">
        <v>586</v>
      </c>
      <c r="D134" s="4" t="s">
        <v>94</v>
      </c>
      <c r="E134" s="4" t="s">
        <v>499</v>
      </c>
      <c r="F134" s="4" t="s">
        <v>12</v>
      </c>
      <c r="G134" s="4" t="s">
        <v>20</v>
      </c>
      <c r="H134" s="4" t="s">
        <v>90</v>
      </c>
      <c r="I134" s="4">
        <v>3433</v>
      </c>
      <c r="J134" s="4">
        <v>6447</v>
      </c>
      <c r="K134" s="4">
        <v>4</v>
      </c>
      <c r="L134" s="4" t="b">
        <f>FALSE()</f>
        <v>0</v>
      </c>
    </row>
    <row r="135" spans="1:12" x14ac:dyDescent="0.2">
      <c r="A135" s="4" t="s">
        <v>587</v>
      </c>
      <c r="B135" s="4" t="s">
        <v>588</v>
      </c>
      <c r="C135" s="4" t="s">
        <v>589</v>
      </c>
      <c r="D135" s="4" t="s">
        <v>94</v>
      </c>
      <c r="E135" s="4" t="s">
        <v>214</v>
      </c>
      <c r="F135" s="4" t="s">
        <v>13</v>
      </c>
      <c r="G135" s="4" t="s">
        <v>18</v>
      </c>
      <c r="H135" s="4" t="s">
        <v>96</v>
      </c>
      <c r="I135" s="4">
        <v>972</v>
      </c>
      <c r="J135" s="4">
        <v>6377</v>
      </c>
      <c r="K135" s="4">
        <v>5</v>
      </c>
      <c r="L135" s="4" t="b">
        <f>FALSE()</f>
        <v>0</v>
      </c>
    </row>
    <row r="136" spans="1:12" x14ac:dyDescent="0.2">
      <c r="A136" s="4" t="s">
        <v>590</v>
      </c>
      <c r="B136" s="4" t="s">
        <v>591</v>
      </c>
      <c r="C136" s="4" t="s">
        <v>592</v>
      </c>
      <c r="D136" s="4" t="s">
        <v>137</v>
      </c>
      <c r="E136" s="4" t="s">
        <v>327</v>
      </c>
      <c r="F136" s="4" t="s">
        <v>9</v>
      </c>
      <c r="G136" s="4" t="s">
        <v>18</v>
      </c>
      <c r="H136" s="4" t="s">
        <v>125</v>
      </c>
      <c r="I136" s="4">
        <v>1412</v>
      </c>
      <c r="J136" s="4">
        <v>5454</v>
      </c>
      <c r="K136" s="4">
        <v>5</v>
      </c>
      <c r="L136" s="4" t="b">
        <f>TRUE()</f>
        <v>1</v>
      </c>
    </row>
    <row r="137" spans="1:12" x14ac:dyDescent="0.2">
      <c r="A137" s="4" t="s">
        <v>593</v>
      </c>
      <c r="B137" s="4" t="s">
        <v>594</v>
      </c>
      <c r="C137" s="4" t="s">
        <v>595</v>
      </c>
      <c r="D137" s="4" t="s">
        <v>137</v>
      </c>
      <c r="E137" s="4" t="s">
        <v>596</v>
      </c>
      <c r="F137" s="4" t="s">
        <v>13</v>
      </c>
      <c r="G137" s="4" t="s">
        <v>22</v>
      </c>
      <c r="H137" s="4" t="s">
        <v>102</v>
      </c>
      <c r="I137" s="4">
        <v>1190</v>
      </c>
      <c r="J137" s="4">
        <v>1645</v>
      </c>
      <c r="K137" s="4">
        <v>2</v>
      </c>
      <c r="L137" s="4" t="b">
        <f>FALSE()</f>
        <v>0</v>
      </c>
    </row>
    <row r="138" spans="1:12" x14ac:dyDescent="0.2">
      <c r="A138" s="4" t="s">
        <v>597</v>
      </c>
      <c r="B138" s="4" t="s">
        <v>598</v>
      </c>
      <c r="C138" s="4" t="s">
        <v>599</v>
      </c>
      <c r="D138" s="4" t="s">
        <v>100</v>
      </c>
      <c r="E138" s="4" t="s">
        <v>600</v>
      </c>
      <c r="F138" s="4" t="s">
        <v>10</v>
      </c>
      <c r="G138" s="4" t="s">
        <v>21</v>
      </c>
      <c r="H138" s="4" t="s">
        <v>150</v>
      </c>
      <c r="I138" s="4">
        <v>1467</v>
      </c>
      <c r="J138" s="4">
        <v>1532</v>
      </c>
      <c r="K138" s="4">
        <v>5</v>
      </c>
      <c r="L138" s="4" t="b">
        <f>FALSE()</f>
        <v>0</v>
      </c>
    </row>
    <row r="139" spans="1:12" x14ac:dyDescent="0.2">
      <c r="A139" s="4" t="s">
        <v>601</v>
      </c>
      <c r="B139" s="4" t="s">
        <v>602</v>
      </c>
      <c r="C139" s="4" t="s">
        <v>603</v>
      </c>
      <c r="D139" s="4" t="s">
        <v>133</v>
      </c>
      <c r="E139" s="4" t="s">
        <v>604</v>
      </c>
      <c r="F139" s="4" t="s">
        <v>13</v>
      </c>
      <c r="G139" s="4" t="s">
        <v>21</v>
      </c>
      <c r="H139" s="4" t="s">
        <v>107</v>
      </c>
      <c r="I139" s="4">
        <v>1967</v>
      </c>
      <c r="J139" s="4">
        <v>1521</v>
      </c>
      <c r="K139" s="4">
        <v>2</v>
      </c>
      <c r="L139" s="4" t="b">
        <f>FALSE()</f>
        <v>0</v>
      </c>
    </row>
    <row r="140" spans="1:12" x14ac:dyDescent="0.2">
      <c r="A140" s="4" t="s">
        <v>605</v>
      </c>
      <c r="B140" s="4" t="s">
        <v>606</v>
      </c>
      <c r="C140" s="4" t="s">
        <v>607</v>
      </c>
      <c r="D140" s="4" t="s">
        <v>133</v>
      </c>
      <c r="E140" s="4" t="s">
        <v>608</v>
      </c>
      <c r="F140" s="4" t="s">
        <v>14</v>
      </c>
      <c r="G140" s="4" t="s">
        <v>19</v>
      </c>
      <c r="H140" s="4" t="s">
        <v>102</v>
      </c>
      <c r="I140" s="4">
        <v>1159</v>
      </c>
      <c r="J140" s="4">
        <v>2558</v>
      </c>
      <c r="K140" s="4">
        <v>5</v>
      </c>
      <c r="L140" s="4" t="b">
        <f>FALSE()</f>
        <v>0</v>
      </c>
    </row>
    <row r="141" spans="1:12" x14ac:dyDescent="0.2">
      <c r="A141" s="4" t="s">
        <v>609</v>
      </c>
      <c r="B141" s="4" t="s">
        <v>610</v>
      </c>
      <c r="C141" s="4" t="s">
        <v>611</v>
      </c>
      <c r="D141" s="4" t="s">
        <v>88</v>
      </c>
      <c r="E141" s="4" t="s">
        <v>612</v>
      </c>
      <c r="F141" s="4" t="s">
        <v>10</v>
      </c>
      <c r="G141" s="4" t="s">
        <v>21</v>
      </c>
      <c r="H141" s="4" t="s">
        <v>107</v>
      </c>
      <c r="I141" s="4">
        <v>1722</v>
      </c>
      <c r="J141" s="4">
        <v>1703</v>
      </c>
      <c r="K141" s="4">
        <v>4</v>
      </c>
      <c r="L141" s="4" t="b">
        <f>FALSE()</f>
        <v>0</v>
      </c>
    </row>
    <row r="142" spans="1:12" x14ac:dyDescent="0.2">
      <c r="A142" s="4" t="s">
        <v>613</v>
      </c>
      <c r="B142" s="4" t="s">
        <v>614</v>
      </c>
      <c r="C142" s="4" t="s">
        <v>615</v>
      </c>
      <c r="D142" s="4" t="s">
        <v>137</v>
      </c>
      <c r="E142" s="4" t="s">
        <v>616</v>
      </c>
      <c r="F142" s="4" t="s">
        <v>9</v>
      </c>
      <c r="G142" s="4" t="s">
        <v>21</v>
      </c>
      <c r="H142" s="4" t="s">
        <v>125</v>
      </c>
      <c r="I142" s="4">
        <v>1813</v>
      </c>
      <c r="J142" s="4">
        <v>5839</v>
      </c>
      <c r="K142" s="4">
        <v>5</v>
      </c>
      <c r="L142" s="4" t="b">
        <f>FALSE()</f>
        <v>0</v>
      </c>
    </row>
    <row r="143" spans="1:12" x14ac:dyDescent="0.2">
      <c r="A143" s="4" t="s">
        <v>617</v>
      </c>
      <c r="B143" s="4" t="s">
        <v>618</v>
      </c>
      <c r="C143" s="4" t="s">
        <v>619</v>
      </c>
      <c r="D143" s="4" t="s">
        <v>137</v>
      </c>
      <c r="E143" s="4" t="s">
        <v>299</v>
      </c>
      <c r="F143" s="4" t="s">
        <v>11</v>
      </c>
      <c r="G143" s="4" t="s">
        <v>24</v>
      </c>
      <c r="H143" s="4" t="s">
        <v>125</v>
      </c>
      <c r="I143" s="4">
        <v>2449</v>
      </c>
      <c r="J143" s="4">
        <v>4028</v>
      </c>
      <c r="K143" s="4">
        <v>5</v>
      </c>
      <c r="L143" s="4" t="b">
        <f>FALSE()</f>
        <v>0</v>
      </c>
    </row>
    <row r="144" spans="1:12" x14ac:dyDescent="0.2">
      <c r="A144" s="4" t="s">
        <v>620</v>
      </c>
      <c r="B144" s="4" t="s">
        <v>621</v>
      </c>
      <c r="C144" s="4" t="s">
        <v>622</v>
      </c>
      <c r="D144" s="4" t="s">
        <v>100</v>
      </c>
      <c r="E144" s="4" t="s">
        <v>252</v>
      </c>
      <c r="F144" s="4" t="s">
        <v>11</v>
      </c>
      <c r="G144" s="4" t="s">
        <v>21</v>
      </c>
      <c r="H144" s="4" t="s">
        <v>150</v>
      </c>
      <c r="I144" s="4">
        <v>1055</v>
      </c>
      <c r="J144" s="4">
        <v>2858</v>
      </c>
      <c r="K144" s="4">
        <v>4</v>
      </c>
      <c r="L144" s="4" t="b">
        <f>FALSE()</f>
        <v>0</v>
      </c>
    </row>
    <row r="145" spans="1:12" x14ac:dyDescent="0.2">
      <c r="A145" s="4" t="s">
        <v>623</v>
      </c>
      <c r="B145" s="4" t="s">
        <v>624</v>
      </c>
      <c r="C145" s="4" t="s">
        <v>625</v>
      </c>
      <c r="D145" s="4" t="s">
        <v>88</v>
      </c>
      <c r="E145" s="4" t="s">
        <v>626</v>
      </c>
      <c r="F145" s="4" t="s">
        <v>11</v>
      </c>
      <c r="G145" s="4" t="s">
        <v>22</v>
      </c>
      <c r="H145" s="4" t="s">
        <v>107</v>
      </c>
      <c r="I145" s="4">
        <v>1426</v>
      </c>
      <c r="J145" s="4">
        <v>1901</v>
      </c>
      <c r="K145" s="4">
        <v>4</v>
      </c>
      <c r="L145" s="4" t="b">
        <f>FALSE()</f>
        <v>0</v>
      </c>
    </row>
    <row r="146" spans="1:12" x14ac:dyDescent="0.2">
      <c r="A146" s="4" t="s">
        <v>627</v>
      </c>
      <c r="B146" s="4" t="s">
        <v>628</v>
      </c>
      <c r="C146" s="4" t="s">
        <v>629</v>
      </c>
      <c r="D146" s="4" t="s">
        <v>94</v>
      </c>
      <c r="E146" s="4" t="s">
        <v>436</v>
      </c>
      <c r="F146" s="4" t="s">
        <v>12</v>
      </c>
      <c r="G146" s="4" t="s">
        <v>20</v>
      </c>
      <c r="H146" s="4" t="s">
        <v>125</v>
      </c>
      <c r="I146" s="4">
        <v>2459</v>
      </c>
      <c r="J146" s="4">
        <v>1035</v>
      </c>
      <c r="K146" s="4">
        <v>4</v>
      </c>
      <c r="L146" s="4" t="b">
        <f>FALSE()</f>
        <v>0</v>
      </c>
    </row>
    <row r="147" spans="1:12" x14ac:dyDescent="0.2">
      <c r="A147" s="4" t="s">
        <v>630</v>
      </c>
      <c r="B147" s="4" t="s">
        <v>631</v>
      </c>
      <c r="C147" s="4" t="s">
        <v>632</v>
      </c>
      <c r="D147" s="4" t="s">
        <v>94</v>
      </c>
      <c r="E147" s="4" t="s">
        <v>633</v>
      </c>
      <c r="F147" s="4" t="s">
        <v>14</v>
      </c>
      <c r="G147" s="4" t="s">
        <v>19</v>
      </c>
      <c r="H147" s="4" t="s">
        <v>96</v>
      </c>
      <c r="I147" s="4">
        <v>1160</v>
      </c>
      <c r="J147" s="4">
        <v>3329</v>
      </c>
      <c r="K147" s="4">
        <v>4</v>
      </c>
      <c r="L147" s="4" t="b">
        <f>FALSE()</f>
        <v>0</v>
      </c>
    </row>
    <row r="148" spans="1:12" x14ac:dyDescent="0.2">
      <c r="A148" s="4" t="s">
        <v>634</v>
      </c>
      <c r="B148" s="4" t="s">
        <v>635</v>
      </c>
      <c r="C148" s="4" t="s">
        <v>636</v>
      </c>
      <c r="D148" s="4" t="s">
        <v>137</v>
      </c>
      <c r="E148" s="4" t="s">
        <v>637</v>
      </c>
      <c r="F148" s="4" t="s">
        <v>12</v>
      </c>
      <c r="G148" s="4" t="s">
        <v>24</v>
      </c>
      <c r="H148" s="4" t="s">
        <v>90</v>
      </c>
      <c r="I148" s="4">
        <v>720</v>
      </c>
      <c r="J148" s="4">
        <v>515</v>
      </c>
      <c r="K148" s="4">
        <v>5</v>
      </c>
      <c r="L148" s="4" t="b">
        <f>FALSE()</f>
        <v>0</v>
      </c>
    </row>
    <row r="149" spans="1:12" x14ac:dyDescent="0.2">
      <c r="A149" s="4" t="s">
        <v>638</v>
      </c>
      <c r="B149" s="4" t="s">
        <v>430</v>
      </c>
      <c r="C149" s="4" t="s">
        <v>639</v>
      </c>
      <c r="D149" s="4" t="s">
        <v>88</v>
      </c>
      <c r="E149" s="4" t="s">
        <v>244</v>
      </c>
      <c r="F149" s="4" t="s">
        <v>13</v>
      </c>
      <c r="G149" s="4" t="s">
        <v>22</v>
      </c>
      <c r="H149" s="4" t="s">
        <v>125</v>
      </c>
      <c r="I149" s="4">
        <v>1742</v>
      </c>
      <c r="J149" s="4">
        <v>1219</v>
      </c>
      <c r="K149" s="4">
        <v>5</v>
      </c>
      <c r="L149" s="4" t="b">
        <f>FALSE()</f>
        <v>0</v>
      </c>
    </row>
    <row r="150" spans="1:12" x14ac:dyDescent="0.2">
      <c r="A150" s="4" t="s">
        <v>640</v>
      </c>
      <c r="B150" s="4" t="s">
        <v>641</v>
      </c>
      <c r="C150" s="4" t="s">
        <v>642</v>
      </c>
      <c r="D150" s="4" t="s">
        <v>94</v>
      </c>
      <c r="E150" s="4" t="s">
        <v>643</v>
      </c>
      <c r="F150" s="4" t="s">
        <v>9</v>
      </c>
      <c r="G150" s="4" t="s">
        <v>21</v>
      </c>
      <c r="H150" s="4" t="s">
        <v>107</v>
      </c>
      <c r="I150" s="4">
        <v>810</v>
      </c>
      <c r="J150" s="4">
        <v>1789</v>
      </c>
      <c r="K150" s="4">
        <v>4</v>
      </c>
      <c r="L150" s="4" t="b">
        <f>FALSE()</f>
        <v>0</v>
      </c>
    </row>
    <row r="151" spans="1:12" x14ac:dyDescent="0.2">
      <c r="A151" s="4" t="s">
        <v>644</v>
      </c>
      <c r="B151" s="4" t="s">
        <v>645</v>
      </c>
      <c r="C151" s="4" t="s">
        <v>646</v>
      </c>
      <c r="D151" s="4" t="s">
        <v>88</v>
      </c>
      <c r="E151" s="4" t="s">
        <v>214</v>
      </c>
      <c r="F151" s="4" t="s">
        <v>13</v>
      </c>
      <c r="G151" s="4" t="s">
        <v>20</v>
      </c>
      <c r="H151" s="4" t="s">
        <v>96</v>
      </c>
      <c r="I151" s="4">
        <v>1385</v>
      </c>
      <c r="J151" s="4">
        <v>3382</v>
      </c>
      <c r="K151" s="4">
        <v>4</v>
      </c>
      <c r="L151" s="4" t="b">
        <f>FALSE()</f>
        <v>0</v>
      </c>
    </row>
    <row r="152" spans="1:12" x14ac:dyDescent="0.2">
      <c r="A152" s="4" t="s">
        <v>647</v>
      </c>
      <c r="B152" s="4" t="s">
        <v>648</v>
      </c>
      <c r="C152" s="4" t="s">
        <v>649</v>
      </c>
      <c r="D152" s="4" t="s">
        <v>111</v>
      </c>
      <c r="E152" s="4" t="s">
        <v>650</v>
      </c>
      <c r="F152" s="4" t="s">
        <v>12</v>
      </c>
      <c r="G152" s="4" t="s">
        <v>22</v>
      </c>
      <c r="H152" s="4" t="s">
        <v>150</v>
      </c>
      <c r="I152" s="4">
        <v>2198</v>
      </c>
      <c r="J152" s="4">
        <v>4521</v>
      </c>
      <c r="K152" s="4">
        <v>4</v>
      </c>
      <c r="L152" s="4" t="b">
        <f>FALSE()</f>
        <v>0</v>
      </c>
    </row>
    <row r="153" spans="1:12" x14ac:dyDescent="0.2">
      <c r="A153" s="4" t="s">
        <v>651</v>
      </c>
      <c r="B153" s="4" t="s">
        <v>652</v>
      </c>
      <c r="C153" s="4" t="s">
        <v>653</v>
      </c>
      <c r="D153" s="4" t="s">
        <v>88</v>
      </c>
      <c r="E153" s="4" t="s">
        <v>399</v>
      </c>
      <c r="F153" s="4" t="s">
        <v>12</v>
      </c>
      <c r="G153" s="4" t="s">
        <v>24</v>
      </c>
      <c r="H153" s="4" t="s">
        <v>102</v>
      </c>
      <c r="I153" s="4">
        <v>1396</v>
      </c>
      <c r="J153" s="4">
        <v>4083</v>
      </c>
      <c r="K153" s="4">
        <v>4</v>
      </c>
      <c r="L153" s="4" t="b">
        <f>FALSE()</f>
        <v>0</v>
      </c>
    </row>
    <row r="154" spans="1:12" x14ac:dyDescent="0.2">
      <c r="A154" s="4" t="s">
        <v>654</v>
      </c>
      <c r="B154" s="4" t="s">
        <v>655</v>
      </c>
      <c r="C154" s="4" t="s">
        <v>656</v>
      </c>
      <c r="D154" s="4" t="s">
        <v>100</v>
      </c>
      <c r="E154" s="4" t="s">
        <v>657</v>
      </c>
      <c r="F154" s="4" t="s">
        <v>9</v>
      </c>
      <c r="G154" s="4" t="s">
        <v>18</v>
      </c>
      <c r="H154" s="4" t="s">
        <v>96</v>
      </c>
      <c r="I154" s="4">
        <v>1191</v>
      </c>
      <c r="J154" s="4">
        <v>3281</v>
      </c>
      <c r="K154" s="4">
        <v>5</v>
      </c>
      <c r="L154" s="4" t="b">
        <f>FALSE()</f>
        <v>0</v>
      </c>
    </row>
    <row r="155" spans="1:12" x14ac:dyDescent="0.2">
      <c r="A155" s="4" t="s">
        <v>658</v>
      </c>
      <c r="B155" s="4" t="s">
        <v>659</v>
      </c>
      <c r="C155" s="4" t="s">
        <v>660</v>
      </c>
      <c r="D155" s="4" t="s">
        <v>88</v>
      </c>
      <c r="E155" s="4" t="s">
        <v>661</v>
      </c>
      <c r="F155" s="4" t="s">
        <v>13</v>
      </c>
      <c r="G155" s="4" t="s">
        <v>18</v>
      </c>
      <c r="H155" s="4" t="s">
        <v>102</v>
      </c>
      <c r="I155" s="4">
        <v>1196</v>
      </c>
      <c r="J155" s="4">
        <v>1337</v>
      </c>
      <c r="K155" s="4">
        <v>5</v>
      </c>
      <c r="L155" s="4" t="b">
        <f>FALSE()</f>
        <v>0</v>
      </c>
    </row>
    <row r="156" spans="1:12" x14ac:dyDescent="0.2">
      <c r="A156" s="4" t="s">
        <v>662</v>
      </c>
      <c r="B156" s="4" t="s">
        <v>663</v>
      </c>
      <c r="C156" s="4" t="s">
        <v>664</v>
      </c>
      <c r="D156" s="4" t="s">
        <v>137</v>
      </c>
      <c r="E156" s="4" t="s">
        <v>665</v>
      </c>
      <c r="F156" s="4" t="s">
        <v>12</v>
      </c>
      <c r="G156" s="4" t="s">
        <v>22</v>
      </c>
      <c r="H156" s="4" t="s">
        <v>150</v>
      </c>
      <c r="I156" s="4">
        <v>2117</v>
      </c>
      <c r="J156" s="4">
        <v>6264</v>
      </c>
      <c r="K156" s="4">
        <v>3</v>
      </c>
      <c r="L156" s="4" t="b">
        <f>FALSE()</f>
        <v>0</v>
      </c>
    </row>
    <row r="157" spans="1:12" x14ac:dyDescent="0.2">
      <c r="A157" s="4" t="s">
        <v>666</v>
      </c>
      <c r="B157" s="4" t="s">
        <v>208</v>
      </c>
      <c r="C157" s="4" t="s">
        <v>667</v>
      </c>
      <c r="D157" s="4" t="s">
        <v>94</v>
      </c>
      <c r="E157" s="4" t="s">
        <v>668</v>
      </c>
      <c r="F157" s="4" t="s">
        <v>12</v>
      </c>
      <c r="G157" s="4" t="s">
        <v>20</v>
      </c>
      <c r="H157" s="4" t="s">
        <v>96</v>
      </c>
      <c r="I157" s="4">
        <v>1604</v>
      </c>
      <c r="J157" s="4">
        <v>5939</v>
      </c>
      <c r="K157" s="4">
        <v>5</v>
      </c>
      <c r="L157" s="4" t="b">
        <f>FALSE()</f>
        <v>0</v>
      </c>
    </row>
    <row r="158" spans="1:12" x14ac:dyDescent="0.2">
      <c r="A158" s="4" t="s">
        <v>669</v>
      </c>
      <c r="B158" s="4" t="s">
        <v>670</v>
      </c>
      <c r="C158" s="4" t="s">
        <v>671</v>
      </c>
      <c r="D158" s="4" t="s">
        <v>100</v>
      </c>
      <c r="E158" s="4" t="s">
        <v>368</v>
      </c>
      <c r="F158" s="4" t="s">
        <v>12</v>
      </c>
      <c r="G158" s="4" t="s">
        <v>24</v>
      </c>
      <c r="H158" s="4" t="s">
        <v>107</v>
      </c>
      <c r="I158" s="4">
        <v>1577</v>
      </c>
      <c r="J158" s="4">
        <v>4033</v>
      </c>
      <c r="K158" s="4">
        <v>4</v>
      </c>
      <c r="L158" s="4" t="b">
        <f>FALSE()</f>
        <v>0</v>
      </c>
    </row>
    <row r="159" spans="1:12" x14ac:dyDescent="0.2">
      <c r="A159" s="4" t="s">
        <v>672</v>
      </c>
      <c r="B159" s="4" t="s">
        <v>673</v>
      </c>
      <c r="C159" s="4" t="s">
        <v>674</v>
      </c>
      <c r="D159" s="4" t="s">
        <v>137</v>
      </c>
      <c r="E159" s="4" t="s">
        <v>675</v>
      </c>
      <c r="F159" s="4" t="s">
        <v>10</v>
      </c>
      <c r="G159" s="4" t="s">
        <v>18</v>
      </c>
      <c r="H159" s="4" t="s">
        <v>150</v>
      </c>
      <c r="I159" s="4">
        <v>961</v>
      </c>
      <c r="J159" s="4">
        <v>574</v>
      </c>
      <c r="K159" s="4">
        <v>3</v>
      </c>
      <c r="L159" s="4" t="b">
        <f>FALSE()</f>
        <v>0</v>
      </c>
    </row>
    <row r="160" spans="1:12" x14ac:dyDescent="0.2">
      <c r="A160" s="4" t="s">
        <v>676</v>
      </c>
      <c r="B160" s="4" t="s">
        <v>677</v>
      </c>
      <c r="C160" s="4" t="s">
        <v>678</v>
      </c>
      <c r="D160" s="4" t="s">
        <v>111</v>
      </c>
      <c r="E160" s="4" t="s">
        <v>679</v>
      </c>
      <c r="F160" s="4" t="s">
        <v>10</v>
      </c>
      <c r="G160" s="4" t="s">
        <v>21</v>
      </c>
      <c r="H160" s="4" t="s">
        <v>125</v>
      </c>
      <c r="I160" s="4">
        <v>1629</v>
      </c>
      <c r="J160" s="4">
        <v>4973</v>
      </c>
      <c r="K160" s="4">
        <v>4</v>
      </c>
      <c r="L160" s="4" t="b">
        <f>FALSE()</f>
        <v>0</v>
      </c>
    </row>
    <row r="161" spans="1:12" x14ac:dyDescent="0.2">
      <c r="A161" s="4" t="s">
        <v>680</v>
      </c>
      <c r="B161" s="4" t="s">
        <v>681</v>
      </c>
      <c r="C161" s="4" t="s">
        <v>682</v>
      </c>
      <c r="D161" s="4" t="s">
        <v>88</v>
      </c>
      <c r="E161" s="4" t="s">
        <v>683</v>
      </c>
      <c r="F161" s="4" t="s">
        <v>9</v>
      </c>
      <c r="G161" s="4" t="s">
        <v>18</v>
      </c>
      <c r="H161" s="4" t="s">
        <v>102</v>
      </c>
      <c r="I161" s="4">
        <v>1236</v>
      </c>
      <c r="J161" s="4">
        <v>1149</v>
      </c>
      <c r="K161" s="4">
        <v>4</v>
      </c>
      <c r="L161" s="4" t="b">
        <f>FALSE()</f>
        <v>0</v>
      </c>
    </row>
    <row r="162" spans="1:12" x14ac:dyDescent="0.2">
      <c r="A162" s="4" t="s">
        <v>684</v>
      </c>
      <c r="B162" s="4" t="s">
        <v>685</v>
      </c>
      <c r="C162" s="4" t="s">
        <v>686</v>
      </c>
      <c r="D162" s="4" t="s">
        <v>100</v>
      </c>
      <c r="E162" s="4" t="s">
        <v>687</v>
      </c>
      <c r="F162" s="4" t="s">
        <v>9</v>
      </c>
      <c r="G162" s="4" t="s">
        <v>18</v>
      </c>
      <c r="H162" s="4" t="s">
        <v>125</v>
      </c>
      <c r="I162" s="4">
        <v>1250</v>
      </c>
      <c r="J162" s="4">
        <v>3751</v>
      </c>
      <c r="K162" s="4">
        <v>4</v>
      </c>
      <c r="L162" s="4" t="b">
        <f>FALSE()</f>
        <v>0</v>
      </c>
    </row>
    <row r="163" spans="1:12" x14ac:dyDescent="0.2">
      <c r="A163" s="4" t="s">
        <v>688</v>
      </c>
      <c r="B163" s="4" t="s">
        <v>689</v>
      </c>
      <c r="C163" s="4" t="s">
        <v>690</v>
      </c>
      <c r="D163" s="4" t="s">
        <v>88</v>
      </c>
      <c r="E163" s="4" t="s">
        <v>174</v>
      </c>
      <c r="F163" s="4" t="s">
        <v>12</v>
      </c>
      <c r="G163" s="4" t="s">
        <v>21</v>
      </c>
      <c r="H163" s="4" t="s">
        <v>90</v>
      </c>
      <c r="I163" s="4">
        <v>1314</v>
      </c>
      <c r="J163" s="4">
        <v>783</v>
      </c>
      <c r="K163" s="4">
        <v>4</v>
      </c>
      <c r="L163" s="4" t="b">
        <f>FALSE()</f>
        <v>0</v>
      </c>
    </row>
    <row r="164" spans="1:12" x14ac:dyDescent="0.2">
      <c r="A164" s="4" t="s">
        <v>691</v>
      </c>
      <c r="B164" s="4" t="s">
        <v>692</v>
      </c>
      <c r="C164" s="4" t="s">
        <v>693</v>
      </c>
      <c r="D164" s="4" t="s">
        <v>137</v>
      </c>
      <c r="E164" s="4" t="s">
        <v>694</v>
      </c>
      <c r="F164" s="4" t="s">
        <v>10</v>
      </c>
      <c r="G164" s="4" t="s">
        <v>18</v>
      </c>
      <c r="H164" s="4" t="s">
        <v>125</v>
      </c>
      <c r="I164" s="4">
        <v>999</v>
      </c>
      <c r="J164" s="4">
        <v>3984</v>
      </c>
      <c r="K164" s="4">
        <v>5</v>
      </c>
      <c r="L164" s="4" t="b">
        <f>FALSE()</f>
        <v>0</v>
      </c>
    </row>
    <row r="165" spans="1:12" x14ac:dyDescent="0.2">
      <c r="A165" s="4" t="s">
        <v>695</v>
      </c>
      <c r="B165" s="4" t="s">
        <v>478</v>
      </c>
      <c r="C165" s="4" t="s">
        <v>696</v>
      </c>
      <c r="D165" s="4" t="s">
        <v>100</v>
      </c>
      <c r="E165" s="4" t="s">
        <v>697</v>
      </c>
      <c r="F165" s="4" t="s">
        <v>11</v>
      </c>
      <c r="G165" s="4" t="s">
        <v>18</v>
      </c>
      <c r="H165" s="4" t="s">
        <v>125</v>
      </c>
      <c r="I165" s="4">
        <v>1072</v>
      </c>
      <c r="J165" s="4">
        <v>5100</v>
      </c>
      <c r="K165" s="4">
        <v>4</v>
      </c>
      <c r="L165" s="4" t="b">
        <f>FALSE()</f>
        <v>0</v>
      </c>
    </row>
    <row r="166" spans="1:12" x14ac:dyDescent="0.2">
      <c r="A166" s="4" t="s">
        <v>698</v>
      </c>
      <c r="B166" s="4" t="s">
        <v>699</v>
      </c>
      <c r="C166" s="4" t="s">
        <v>700</v>
      </c>
      <c r="D166" s="4" t="s">
        <v>100</v>
      </c>
      <c r="E166" s="4" t="s">
        <v>701</v>
      </c>
      <c r="F166" s="4" t="s">
        <v>11</v>
      </c>
      <c r="G166" s="4" t="s">
        <v>19</v>
      </c>
      <c r="H166" s="4" t="s">
        <v>96</v>
      </c>
      <c r="I166" s="4">
        <v>1159</v>
      </c>
      <c r="J166" s="4">
        <v>1025</v>
      </c>
      <c r="K166" s="4">
        <v>5</v>
      </c>
      <c r="L166" s="4" t="b">
        <f>FALSE()</f>
        <v>0</v>
      </c>
    </row>
    <row r="167" spans="1:12" x14ac:dyDescent="0.2">
      <c r="A167" s="4" t="s">
        <v>702</v>
      </c>
      <c r="B167" s="4" t="s">
        <v>703</v>
      </c>
      <c r="C167" s="4" t="s">
        <v>704</v>
      </c>
      <c r="D167" s="4" t="s">
        <v>88</v>
      </c>
      <c r="E167" s="4" t="s">
        <v>705</v>
      </c>
      <c r="F167" s="4" t="s">
        <v>14</v>
      </c>
      <c r="G167" s="4" t="s">
        <v>22</v>
      </c>
      <c r="H167" s="4" t="s">
        <v>125</v>
      </c>
      <c r="I167" s="4">
        <v>787</v>
      </c>
      <c r="J167" s="4">
        <v>2380</v>
      </c>
      <c r="K167" s="4">
        <v>5</v>
      </c>
      <c r="L167" s="4" t="b">
        <f>FALSE()</f>
        <v>0</v>
      </c>
    </row>
    <row r="168" spans="1:12" x14ac:dyDescent="0.2">
      <c r="A168" s="4" t="s">
        <v>706</v>
      </c>
      <c r="B168" s="4" t="s">
        <v>707</v>
      </c>
      <c r="C168" s="4" t="s">
        <v>708</v>
      </c>
      <c r="D168" s="4" t="s">
        <v>100</v>
      </c>
      <c r="E168" s="4" t="s">
        <v>116</v>
      </c>
      <c r="F168" s="4" t="s">
        <v>10</v>
      </c>
      <c r="G168" s="4" t="s">
        <v>22</v>
      </c>
      <c r="H168" s="4" t="s">
        <v>107</v>
      </c>
      <c r="I168" s="4">
        <v>1307</v>
      </c>
      <c r="J168" s="4">
        <v>4616</v>
      </c>
      <c r="K168" s="4">
        <v>4</v>
      </c>
      <c r="L168" s="4" t="b">
        <f>FALSE()</f>
        <v>0</v>
      </c>
    </row>
    <row r="169" spans="1:12" x14ac:dyDescent="0.2">
      <c r="A169" s="4" t="s">
        <v>709</v>
      </c>
      <c r="B169" s="4" t="s">
        <v>710</v>
      </c>
      <c r="C169" s="4" t="s">
        <v>711</v>
      </c>
      <c r="D169" s="4" t="s">
        <v>88</v>
      </c>
      <c r="E169" s="4" t="s">
        <v>252</v>
      </c>
      <c r="F169" s="4" t="s">
        <v>13</v>
      </c>
      <c r="G169" s="4" t="s">
        <v>18</v>
      </c>
      <c r="H169" s="4" t="s">
        <v>150</v>
      </c>
      <c r="I169" s="4">
        <v>1012</v>
      </c>
      <c r="J169" s="4">
        <v>4375</v>
      </c>
      <c r="K169" s="4">
        <v>4</v>
      </c>
      <c r="L169" s="4" t="b">
        <f>FALSE()</f>
        <v>0</v>
      </c>
    </row>
    <row r="170" spans="1:12" x14ac:dyDescent="0.2">
      <c r="A170" s="4" t="s">
        <v>712</v>
      </c>
      <c r="B170" s="4" t="s">
        <v>713</v>
      </c>
      <c r="C170" s="4" t="s">
        <v>714</v>
      </c>
      <c r="D170" s="4" t="s">
        <v>111</v>
      </c>
      <c r="E170" s="4" t="s">
        <v>715</v>
      </c>
      <c r="F170" s="4" t="s">
        <v>10</v>
      </c>
      <c r="G170" s="4" t="s">
        <v>24</v>
      </c>
      <c r="H170" s="4" t="s">
        <v>96</v>
      </c>
      <c r="I170" s="4">
        <v>1854</v>
      </c>
      <c r="J170" s="4">
        <v>2295</v>
      </c>
      <c r="K170" s="4">
        <v>4</v>
      </c>
      <c r="L170" s="4" t="b">
        <f>FALSE()</f>
        <v>0</v>
      </c>
    </row>
    <row r="171" spans="1:12" x14ac:dyDescent="0.2">
      <c r="A171" s="4" t="s">
        <v>716</v>
      </c>
      <c r="B171" s="4" t="s">
        <v>717</v>
      </c>
      <c r="C171" s="4" t="s">
        <v>718</v>
      </c>
      <c r="D171" s="4" t="s">
        <v>100</v>
      </c>
      <c r="E171" s="4" t="s">
        <v>719</v>
      </c>
      <c r="F171" s="4" t="s">
        <v>9</v>
      </c>
      <c r="G171" s="4" t="s">
        <v>20</v>
      </c>
      <c r="H171" s="4" t="s">
        <v>90</v>
      </c>
      <c r="I171" s="4">
        <v>2034</v>
      </c>
      <c r="J171" s="4">
        <v>4407</v>
      </c>
      <c r="K171" s="4">
        <v>5</v>
      </c>
      <c r="L171" s="4" t="b">
        <f>FALSE()</f>
        <v>0</v>
      </c>
    </row>
    <row r="172" spans="1:12" x14ac:dyDescent="0.2">
      <c r="A172" s="4" t="s">
        <v>720</v>
      </c>
      <c r="B172" s="4" t="s">
        <v>721</v>
      </c>
      <c r="C172" s="4" t="s">
        <v>722</v>
      </c>
      <c r="D172" s="4" t="s">
        <v>100</v>
      </c>
      <c r="E172" s="4" t="s">
        <v>723</v>
      </c>
      <c r="F172" s="4" t="s">
        <v>11</v>
      </c>
      <c r="G172" s="4" t="s">
        <v>23</v>
      </c>
      <c r="H172" s="4" t="s">
        <v>96</v>
      </c>
      <c r="I172" s="4">
        <v>854</v>
      </c>
      <c r="J172" s="4">
        <v>1820</v>
      </c>
      <c r="K172" s="4">
        <v>1</v>
      </c>
      <c r="L172" s="4" t="b">
        <f>FALSE()</f>
        <v>0</v>
      </c>
    </row>
    <row r="173" spans="1:12" x14ac:dyDescent="0.2">
      <c r="A173" s="4" t="s">
        <v>724</v>
      </c>
      <c r="B173" s="4" t="s">
        <v>588</v>
      </c>
      <c r="C173" s="4" t="s">
        <v>725</v>
      </c>
      <c r="D173" s="4" t="s">
        <v>137</v>
      </c>
      <c r="E173" s="4" t="s">
        <v>726</v>
      </c>
      <c r="F173" s="4" t="s">
        <v>11</v>
      </c>
      <c r="G173" s="4" t="s">
        <v>24</v>
      </c>
      <c r="H173" s="4" t="s">
        <v>150</v>
      </c>
      <c r="I173" s="4">
        <v>1737</v>
      </c>
      <c r="J173" s="4">
        <v>438</v>
      </c>
      <c r="K173" s="4">
        <v>5</v>
      </c>
      <c r="L173" s="4" t="b">
        <f>FALSE()</f>
        <v>0</v>
      </c>
    </row>
    <row r="174" spans="1:12" x14ac:dyDescent="0.2">
      <c r="A174" s="4" t="s">
        <v>727</v>
      </c>
      <c r="B174" s="4" t="s">
        <v>728</v>
      </c>
      <c r="C174" s="4" t="s">
        <v>729</v>
      </c>
      <c r="D174" s="4" t="s">
        <v>133</v>
      </c>
      <c r="E174" s="4" t="s">
        <v>730</v>
      </c>
      <c r="F174" s="4" t="s">
        <v>12</v>
      </c>
      <c r="G174" s="4" t="s">
        <v>23</v>
      </c>
      <c r="H174" s="4" t="s">
        <v>90</v>
      </c>
      <c r="I174" s="4">
        <v>1403</v>
      </c>
      <c r="J174" s="4">
        <v>4797</v>
      </c>
      <c r="K174" s="4">
        <v>5</v>
      </c>
      <c r="L174" s="4" t="b">
        <f>FALSE()</f>
        <v>0</v>
      </c>
    </row>
    <row r="175" spans="1:12" x14ac:dyDescent="0.2">
      <c r="A175" s="4" t="s">
        <v>731</v>
      </c>
      <c r="B175" s="4" t="s">
        <v>732</v>
      </c>
      <c r="C175" s="4" t="s">
        <v>733</v>
      </c>
      <c r="D175" s="4" t="s">
        <v>88</v>
      </c>
      <c r="E175" s="4" t="s">
        <v>95</v>
      </c>
      <c r="F175" s="4" t="s">
        <v>9</v>
      </c>
      <c r="G175" s="4" t="s">
        <v>22</v>
      </c>
      <c r="H175" s="4" t="s">
        <v>96</v>
      </c>
      <c r="I175" s="4">
        <v>675</v>
      </c>
      <c r="J175" s="4">
        <v>4599</v>
      </c>
      <c r="K175" s="4">
        <v>5</v>
      </c>
      <c r="L175" s="4" t="b">
        <f>FALSE()</f>
        <v>0</v>
      </c>
    </row>
    <row r="176" spans="1:12" x14ac:dyDescent="0.2">
      <c r="A176" s="4" t="s">
        <v>734</v>
      </c>
      <c r="B176" s="4" t="s">
        <v>735</v>
      </c>
      <c r="C176" s="4" t="s">
        <v>736</v>
      </c>
      <c r="D176" s="4" t="s">
        <v>100</v>
      </c>
      <c r="E176" s="4" t="s">
        <v>112</v>
      </c>
      <c r="F176" s="4" t="s">
        <v>12</v>
      </c>
      <c r="G176" s="4" t="s">
        <v>21</v>
      </c>
      <c r="H176" s="4" t="s">
        <v>102</v>
      </c>
      <c r="I176" s="4">
        <v>1701</v>
      </c>
      <c r="J176" s="4">
        <v>6280</v>
      </c>
      <c r="K176" s="4">
        <v>4</v>
      </c>
      <c r="L176" s="4" t="b">
        <f>FALSE()</f>
        <v>0</v>
      </c>
    </row>
    <row r="177" spans="1:12" x14ac:dyDescent="0.2">
      <c r="A177" s="4" t="s">
        <v>737</v>
      </c>
      <c r="B177" s="4" t="s">
        <v>738</v>
      </c>
      <c r="C177" s="4" t="s">
        <v>739</v>
      </c>
      <c r="D177" s="4" t="s">
        <v>94</v>
      </c>
      <c r="E177" s="4" t="s">
        <v>740</v>
      </c>
      <c r="F177" s="4" t="s">
        <v>14</v>
      </c>
      <c r="G177" s="4" t="s">
        <v>21</v>
      </c>
      <c r="H177" s="4" t="s">
        <v>125</v>
      </c>
      <c r="I177" s="4">
        <v>2200</v>
      </c>
      <c r="J177" s="4">
        <v>3376</v>
      </c>
      <c r="K177" s="4">
        <v>3</v>
      </c>
      <c r="L177" s="4" t="b">
        <f>FALSE()</f>
        <v>0</v>
      </c>
    </row>
    <row r="178" spans="1:12" x14ac:dyDescent="0.2">
      <c r="A178" s="4" t="s">
        <v>741</v>
      </c>
      <c r="B178" s="4" t="s">
        <v>742</v>
      </c>
      <c r="C178" s="4" t="s">
        <v>743</v>
      </c>
      <c r="D178" s="4" t="s">
        <v>100</v>
      </c>
      <c r="E178" s="4" t="s">
        <v>650</v>
      </c>
      <c r="F178" s="4" t="s">
        <v>14</v>
      </c>
      <c r="G178" s="4" t="s">
        <v>21</v>
      </c>
      <c r="H178" s="4" t="s">
        <v>125</v>
      </c>
      <c r="I178" s="4">
        <v>1609</v>
      </c>
      <c r="J178" s="4">
        <v>5890</v>
      </c>
      <c r="K178" s="4">
        <v>5</v>
      </c>
      <c r="L178" s="4" t="b">
        <f>FALSE()</f>
        <v>0</v>
      </c>
    </row>
    <row r="179" spans="1:12" x14ac:dyDescent="0.2">
      <c r="A179" s="4" t="s">
        <v>744</v>
      </c>
      <c r="B179" s="4" t="s">
        <v>745</v>
      </c>
      <c r="C179" s="4" t="s">
        <v>746</v>
      </c>
      <c r="D179" s="4" t="s">
        <v>94</v>
      </c>
      <c r="E179" s="4" t="s">
        <v>583</v>
      </c>
      <c r="F179" s="4" t="s">
        <v>10</v>
      </c>
      <c r="G179" s="4" t="s">
        <v>23</v>
      </c>
      <c r="H179" s="4" t="s">
        <v>107</v>
      </c>
      <c r="I179" s="4">
        <v>882</v>
      </c>
      <c r="J179" s="4">
        <v>1679</v>
      </c>
      <c r="K179" s="4">
        <v>5</v>
      </c>
      <c r="L179" s="4" t="b">
        <f>FALSE()</f>
        <v>0</v>
      </c>
    </row>
    <row r="180" spans="1:12" x14ac:dyDescent="0.2">
      <c r="A180" s="4" t="s">
        <v>747</v>
      </c>
      <c r="B180" s="4" t="s">
        <v>748</v>
      </c>
      <c r="C180" s="4" t="s">
        <v>749</v>
      </c>
      <c r="D180" s="4" t="s">
        <v>100</v>
      </c>
      <c r="E180" s="4" t="s">
        <v>218</v>
      </c>
      <c r="F180" s="4" t="s">
        <v>10</v>
      </c>
      <c r="G180" s="4" t="s">
        <v>19</v>
      </c>
      <c r="H180" s="4" t="s">
        <v>107</v>
      </c>
      <c r="I180" s="4">
        <v>595</v>
      </c>
      <c r="J180" s="4">
        <v>1073</v>
      </c>
      <c r="K180" s="4">
        <v>5</v>
      </c>
      <c r="L180" s="4" t="b">
        <f>FALSE()</f>
        <v>0</v>
      </c>
    </row>
    <row r="181" spans="1:12" x14ac:dyDescent="0.2">
      <c r="A181" s="4" t="s">
        <v>750</v>
      </c>
      <c r="B181" s="4" t="s">
        <v>751</v>
      </c>
      <c r="C181" s="4" t="s">
        <v>752</v>
      </c>
      <c r="D181" s="4" t="s">
        <v>88</v>
      </c>
      <c r="E181" s="4" t="s">
        <v>753</v>
      </c>
      <c r="F181" s="4" t="s">
        <v>12</v>
      </c>
      <c r="G181" s="4" t="s">
        <v>18</v>
      </c>
      <c r="H181" s="4" t="s">
        <v>125</v>
      </c>
      <c r="I181" s="4">
        <v>2057</v>
      </c>
      <c r="J181" s="4">
        <v>3450</v>
      </c>
      <c r="K181" s="4">
        <v>5</v>
      </c>
      <c r="L181" s="4" t="b">
        <f>FALSE()</f>
        <v>0</v>
      </c>
    </row>
    <row r="182" spans="1:12" x14ac:dyDescent="0.2">
      <c r="A182" s="4" t="s">
        <v>754</v>
      </c>
      <c r="B182" s="4" t="s">
        <v>378</v>
      </c>
      <c r="C182" s="4" t="s">
        <v>755</v>
      </c>
      <c r="D182" s="4" t="s">
        <v>100</v>
      </c>
      <c r="E182" s="4" t="s">
        <v>372</v>
      </c>
      <c r="F182" s="4" t="s">
        <v>9</v>
      </c>
      <c r="G182" s="4" t="s">
        <v>19</v>
      </c>
      <c r="H182" s="4" t="s">
        <v>90</v>
      </c>
      <c r="I182" s="4">
        <v>1200</v>
      </c>
      <c r="J182" s="4">
        <v>2664</v>
      </c>
      <c r="K182" s="4">
        <v>4</v>
      </c>
      <c r="L182" s="4" t="b">
        <f>FALSE()</f>
        <v>0</v>
      </c>
    </row>
    <row r="183" spans="1:12" x14ac:dyDescent="0.2">
      <c r="A183" s="4" t="s">
        <v>756</v>
      </c>
      <c r="B183" s="4" t="s">
        <v>757</v>
      </c>
      <c r="C183" s="4" t="s">
        <v>758</v>
      </c>
      <c r="D183" s="4" t="s">
        <v>94</v>
      </c>
      <c r="E183" s="4" t="s">
        <v>650</v>
      </c>
      <c r="F183" s="4" t="s">
        <v>9</v>
      </c>
      <c r="G183" s="4" t="s">
        <v>23</v>
      </c>
      <c r="H183" s="4" t="s">
        <v>90</v>
      </c>
      <c r="I183" s="4">
        <v>2158</v>
      </c>
      <c r="J183" s="4">
        <v>2704</v>
      </c>
      <c r="K183" s="4">
        <v>4</v>
      </c>
      <c r="L183" s="4" t="b">
        <f>FALSE()</f>
        <v>0</v>
      </c>
    </row>
    <row r="184" spans="1:12" x14ac:dyDescent="0.2">
      <c r="A184" s="4" t="s">
        <v>759</v>
      </c>
      <c r="B184" s="4" t="s">
        <v>760</v>
      </c>
      <c r="C184" s="4" t="s">
        <v>761</v>
      </c>
      <c r="D184" s="4" t="s">
        <v>94</v>
      </c>
      <c r="E184" s="4" t="s">
        <v>762</v>
      </c>
      <c r="F184" s="4" t="s">
        <v>14</v>
      </c>
      <c r="G184" s="4" t="s">
        <v>22</v>
      </c>
      <c r="H184" s="4" t="s">
        <v>90</v>
      </c>
      <c r="I184" s="4">
        <v>948</v>
      </c>
      <c r="J184" s="4">
        <v>5910</v>
      </c>
      <c r="K184" s="4">
        <v>4</v>
      </c>
      <c r="L184" s="4" t="b">
        <f>FALSE()</f>
        <v>0</v>
      </c>
    </row>
    <row r="185" spans="1:12" x14ac:dyDescent="0.2">
      <c r="A185" s="4" t="s">
        <v>763</v>
      </c>
      <c r="B185" s="4" t="s">
        <v>764</v>
      </c>
      <c r="C185" s="4" t="s">
        <v>765</v>
      </c>
      <c r="D185" s="4" t="s">
        <v>94</v>
      </c>
      <c r="E185" s="4" t="s">
        <v>766</v>
      </c>
      <c r="F185" s="4" t="s">
        <v>12</v>
      </c>
      <c r="G185" s="4" t="s">
        <v>20</v>
      </c>
      <c r="H185" s="4" t="s">
        <v>90</v>
      </c>
      <c r="I185" s="4">
        <v>850</v>
      </c>
      <c r="J185" s="4">
        <v>1421</v>
      </c>
      <c r="K185" s="4">
        <v>3</v>
      </c>
      <c r="L185" s="4" t="b">
        <f>FALSE()</f>
        <v>0</v>
      </c>
    </row>
    <row r="186" spans="1:12" x14ac:dyDescent="0.2">
      <c r="A186" s="4" t="s">
        <v>767</v>
      </c>
      <c r="B186" s="4" t="s">
        <v>768</v>
      </c>
      <c r="C186" s="4" t="s">
        <v>769</v>
      </c>
      <c r="D186" s="4" t="s">
        <v>100</v>
      </c>
      <c r="E186" s="4" t="s">
        <v>770</v>
      </c>
      <c r="F186" s="4" t="s">
        <v>11</v>
      </c>
      <c r="G186" s="4" t="s">
        <v>21</v>
      </c>
      <c r="H186" s="4" t="s">
        <v>150</v>
      </c>
      <c r="I186" s="4">
        <v>1596</v>
      </c>
      <c r="J186" s="4">
        <v>4899</v>
      </c>
      <c r="K186" s="4">
        <v>4</v>
      </c>
      <c r="L186" s="4" t="b">
        <f>FALSE()</f>
        <v>0</v>
      </c>
    </row>
    <row r="187" spans="1:12" x14ac:dyDescent="0.2">
      <c r="A187" s="4" t="s">
        <v>771</v>
      </c>
      <c r="B187" s="4" t="s">
        <v>772</v>
      </c>
      <c r="C187" s="4" t="s">
        <v>773</v>
      </c>
      <c r="D187" s="4" t="s">
        <v>137</v>
      </c>
      <c r="E187" s="4" t="s">
        <v>650</v>
      </c>
      <c r="F187" s="4" t="s">
        <v>10</v>
      </c>
      <c r="G187" s="4" t="s">
        <v>20</v>
      </c>
      <c r="H187" s="4" t="s">
        <v>90</v>
      </c>
      <c r="I187" s="4">
        <v>981</v>
      </c>
      <c r="J187" s="4">
        <v>5003</v>
      </c>
      <c r="K187" s="4">
        <v>4</v>
      </c>
      <c r="L187" s="4" t="b">
        <f>FALSE()</f>
        <v>0</v>
      </c>
    </row>
    <row r="188" spans="1:12" x14ac:dyDescent="0.2">
      <c r="A188" s="4" t="s">
        <v>774</v>
      </c>
      <c r="B188" s="4" t="s">
        <v>571</v>
      </c>
      <c r="C188" s="4" t="s">
        <v>775</v>
      </c>
      <c r="D188" s="4" t="s">
        <v>88</v>
      </c>
      <c r="E188" s="4" t="s">
        <v>776</v>
      </c>
      <c r="F188" s="4" t="s">
        <v>14</v>
      </c>
      <c r="G188" s="4" t="s">
        <v>23</v>
      </c>
      <c r="H188" s="4" t="s">
        <v>90</v>
      </c>
      <c r="I188" s="4">
        <v>2806</v>
      </c>
      <c r="J188" s="4">
        <v>762</v>
      </c>
      <c r="K188" s="4">
        <v>5</v>
      </c>
      <c r="L188" s="4" t="b">
        <f>FALSE()</f>
        <v>0</v>
      </c>
    </row>
    <row r="189" spans="1:12" x14ac:dyDescent="0.2">
      <c r="A189" s="4" t="s">
        <v>777</v>
      </c>
      <c r="B189" s="4" t="s">
        <v>778</v>
      </c>
      <c r="C189" s="4" t="s">
        <v>779</v>
      </c>
      <c r="D189" s="4" t="s">
        <v>94</v>
      </c>
      <c r="E189" s="4" t="s">
        <v>780</v>
      </c>
      <c r="F189" s="4" t="s">
        <v>12</v>
      </c>
      <c r="G189" s="4" t="s">
        <v>18</v>
      </c>
      <c r="H189" s="4" t="s">
        <v>150</v>
      </c>
      <c r="I189" s="4">
        <v>1469</v>
      </c>
      <c r="J189" s="4">
        <v>3850</v>
      </c>
      <c r="K189" s="4">
        <v>4</v>
      </c>
      <c r="L189" s="4" t="b">
        <f>FALSE()</f>
        <v>0</v>
      </c>
    </row>
    <row r="190" spans="1:12" x14ac:dyDescent="0.2">
      <c r="A190" s="4" t="s">
        <v>781</v>
      </c>
      <c r="B190" s="4" t="s">
        <v>782</v>
      </c>
      <c r="C190" s="4" t="s">
        <v>783</v>
      </c>
      <c r="D190" s="4" t="s">
        <v>133</v>
      </c>
      <c r="E190" s="4" t="s">
        <v>784</v>
      </c>
      <c r="F190" s="4" t="s">
        <v>11</v>
      </c>
      <c r="G190" s="4" t="s">
        <v>22</v>
      </c>
      <c r="H190" s="4" t="s">
        <v>125</v>
      </c>
      <c r="I190" s="4">
        <v>1700</v>
      </c>
      <c r="J190" s="4">
        <v>3665</v>
      </c>
      <c r="K190" s="4">
        <v>5</v>
      </c>
      <c r="L190" s="4" t="b">
        <f>FALSE()</f>
        <v>0</v>
      </c>
    </row>
    <row r="191" spans="1:12" x14ac:dyDescent="0.2">
      <c r="A191" s="4" t="s">
        <v>785</v>
      </c>
      <c r="B191" s="4" t="s">
        <v>786</v>
      </c>
      <c r="C191" s="4" t="s">
        <v>787</v>
      </c>
      <c r="D191" s="4" t="s">
        <v>94</v>
      </c>
      <c r="E191" s="4" t="s">
        <v>259</v>
      </c>
      <c r="F191" s="4" t="s">
        <v>12</v>
      </c>
      <c r="G191" s="4" t="s">
        <v>23</v>
      </c>
      <c r="H191" s="4" t="s">
        <v>150</v>
      </c>
      <c r="I191" s="4">
        <v>1823</v>
      </c>
      <c r="J191" s="4">
        <v>3151</v>
      </c>
      <c r="K191" s="4">
        <v>5</v>
      </c>
      <c r="L191" s="4" t="b">
        <f>FALSE()</f>
        <v>0</v>
      </c>
    </row>
    <row r="192" spans="1:12" x14ac:dyDescent="0.2">
      <c r="A192" s="4" t="s">
        <v>788</v>
      </c>
      <c r="B192" s="4" t="s">
        <v>789</v>
      </c>
      <c r="C192" s="4" t="s">
        <v>790</v>
      </c>
      <c r="D192" s="4" t="s">
        <v>133</v>
      </c>
      <c r="E192" s="4" t="s">
        <v>791</v>
      </c>
      <c r="F192" s="4" t="s">
        <v>10</v>
      </c>
      <c r="G192" s="4" t="s">
        <v>24</v>
      </c>
      <c r="H192" s="4" t="s">
        <v>107</v>
      </c>
      <c r="I192" s="4">
        <v>1711</v>
      </c>
      <c r="J192" s="4">
        <v>3753</v>
      </c>
      <c r="K192" s="4">
        <v>4</v>
      </c>
      <c r="L192" s="4" t="b">
        <f>FALSE()</f>
        <v>0</v>
      </c>
    </row>
    <row r="193" spans="1:12" x14ac:dyDescent="0.2">
      <c r="A193" s="4" t="s">
        <v>792</v>
      </c>
      <c r="B193" s="4" t="s">
        <v>793</v>
      </c>
      <c r="C193" s="4" t="s">
        <v>794</v>
      </c>
      <c r="D193" s="4" t="s">
        <v>88</v>
      </c>
      <c r="E193" s="4" t="s">
        <v>795</v>
      </c>
      <c r="F193" s="4" t="s">
        <v>10</v>
      </c>
      <c r="G193" s="4" t="s">
        <v>18</v>
      </c>
      <c r="H193" s="4" t="s">
        <v>107</v>
      </c>
      <c r="I193" s="4">
        <v>1258</v>
      </c>
      <c r="J193" s="4">
        <v>537</v>
      </c>
      <c r="K193" s="4">
        <v>3</v>
      </c>
      <c r="L193" s="4" t="b">
        <f>FALSE()</f>
        <v>0</v>
      </c>
    </row>
    <row r="194" spans="1:12" x14ac:dyDescent="0.2">
      <c r="A194" s="4" t="s">
        <v>796</v>
      </c>
      <c r="B194" s="4" t="s">
        <v>797</v>
      </c>
      <c r="C194" s="4" t="s">
        <v>798</v>
      </c>
      <c r="D194" s="4" t="s">
        <v>88</v>
      </c>
      <c r="E194" s="4" t="s">
        <v>158</v>
      </c>
      <c r="F194" s="4" t="s">
        <v>9</v>
      </c>
      <c r="G194" s="4" t="s">
        <v>22</v>
      </c>
      <c r="H194" s="4" t="s">
        <v>107</v>
      </c>
      <c r="I194" s="4">
        <v>1493</v>
      </c>
      <c r="J194" s="4">
        <v>4452</v>
      </c>
      <c r="K194" s="4">
        <v>5</v>
      </c>
      <c r="L194" s="4" t="b">
        <f>FALSE()</f>
        <v>0</v>
      </c>
    </row>
    <row r="195" spans="1:12" x14ac:dyDescent="0.2">
      <c r="A195" s="4" t="s">
        <v>799</v>
      </c>
      <c r="B195" s="4" t="s">
        <v>800</v>
      </c>
      <c r="C195" s="4" t="s">
        <v>801</v>
      </c>
      <c r="D195" s="4" t="s">
        <v>100</v>
      </c>
      <c r="E195" s="4" t="s">
        <v>186</v>
      </c>
      <c r="F195" s="4" t="s">
        <v>10</v>
      </c>
      <c r="G195" s="4" t="s">
        <v>24</v>
      </c>
      <c r="H195" s="4" t="s">
        <v>125</v>
      </c>
      <c r="I195" s="4">
        <v>642</v>
      </c>
      <c r="J195" s="4">
        <v>2171</v>
      </c>
      <c r="K195" s="4">
        <v>4</v>
      </c>
      <c r="L195" s="4" t="b">
        <f>FALSE()</f>
        <v>0</v>
      </c>
    </row>
    <row r="196" spans="1:12" x14ac:dyDescent="0.2">
      <c r="A196" s="4" t="s">
        <v>802</v>
      </c>
      <c r="B196" s="4" t="s">
        <v>803</v>
      </c>
      <c r="C196" s="4" t="s">
        <v>804</v>
      </c>
      <c r="D196" s="4" t="s">
        <v>137</v>
      </c>
      <c r="E196" s="4" t="s">
        <v>805</v>
      </c>
      <c r="F196" s="4" t="s">
        <v>9</v>
      </c>
      <c r="G196" s="4" t="s">
        <v>23</v>
      </c>
      <c r="H196" s="4" t="s">
        <v>90</v>
      </c>
      <c r="I196" s="4">
        <v>1192</v>
      </c>
      <c r="J196" s="4">
        <v>5183</v>
      </c>
      <c r="K196" s="4">
        <v>4</v>
      </c>
      <c r="L196" s="4" t="b">
        <f>FALSE()</f>
        <v>0</v>
      </c>
    </row>
    <row r="197" spans="1:12" x14ac:dyDescent="0.2">
      <c r="A197" s="4" t="s">
        <v>806</v>
      </c>
      <c r="B197" s="4" t="s">
        <v>598</v>
      </c>
      <c r="C197" s="4" t="s">
        <v>807</v>
      </c>
      <c r="D197" s="4" t="s">
        <v>111</v>
      </c>
      <c r="E197" s="4" t="s">
        <v>808</v>
      </c>
      <c r="F197" s="4" t="s">
        <v>14</v>
      </c>
      <c r="G197" s="4" t="s">
        <v>19</v>
      </c>
      <c r="H197" s="4" t="s">
        <v>107</v>
      </c>
      <c r="I197" s="4">
        <v>1482</v>
      </c>
      <c r="J197" s="4">
        <v>5680</v>
      </c>
      <c r="K197" s="4">
        <v>5</v>
      </c>
      <c r="L197" s="4" t="b">
        <f>FALSE()</f>
        <v>0</v>
      </c>
    </row>
    <row r="198" spans="1:12" x14ac:dyDescent="0.2">
      <c r="A198" s="4" t="s">
        <v>809</v>
      </c>
      <c r="B198" s="4" t="s">
        <v>810</v>
      </c>
      <c r="C198" s="4" t="s">
        <v>811</v>
      </c>
      <c r="D198" s="4" t="s">
        <v>94</v>
      </c>
      <c r="E198" s="4" t="s">
        <v>112</v>
      </c>
      <c r="F198" s="4" t="s">
        <v>10</v>
      </c>
      <c r="G198" s="4" t="s">
        <v>22</v>
      </c>
      <c r="H198" s="4" t="s">
        <v>107</v>
      </c>
      <c r="I198" s="4">
        <v>1687</v>
      </c>
      <c r="J198" s="4">
        <v>4853</v>
      </c>
      <c r="K198" s="4">
        <v>4</v>
      </c>
      <c r="L198" s="4" t="b">
        <f>FALSE()</f>
        <v>0</v>
      </c>
    </row>
    <row r="199" spans="1:12" x14ac:dyDescent="0.2">
      <c r="A199" s="4" t="s">
        <v>812</v>
      </c>
      <c r="B199" s="4" t="s">
        <v>813</v>
      </c>
      <c r="C199" s="4" t="s">
        <v>814</v>
      </c>
      <c r="D199" s="4" t="s">
        <v>133</v>
      </c>
      <c r="E199" s="4" t="s">
        <v>679</v>
      </c>
      <c r="F199" s="4" t="s">
        <v>11</v>
      </c>
      <c r="G199" s="4" t="s">
        <v>18</v>
      </c>
      <c r="H199" s="4" t="s">
        <v>96</v>
      </c>
      <c r="I199" s="4">
        <v>1846</v>
      </c>
      <c r="J199" s="4">
        <v>1189</v>
      </c>
      <c r="K199" s="4">
        <v>5</v>
      </c>
      <c r="L199" s="4" t="b">
        <f>FALSE()</f>
        <v>0</v>
      </c>
    </row>
    <row r="200" spans="1:12" x14ac:dyDescent="0.2">
      <c r="A200" s="4" t="s">
        <v>815</v>
      </c>
      <c r="B200" s="4" t="s">
        <v>816</v>
      </c>
      <c r="C200" s="4" t="s">
        <v>817</v>
      </c>
      <c r="D200" s="4" t="s">
        <v>94</v>
      </c>
      <c r="E200" s="4" t="s">
        <v>818</v>
      </c>
      <c r="F200" s="4" t="s">
        <v>13</v>
      </c>
      <c r="G200" s="4" t="s">
        <v>18</v>
      </c>
      <c r="H200" s="4" t="s">
        <v>96</v>
      </c>
      <c r="I200" s="4">
        <v>1398</v>
      </c>
      <c r="J200" s="4">
        <v>6199</v>
      </c>
      <c r="K200" s="4">
        <v>5</v>
      </c>
      <c r="L200" s="4" t="b">
        <f>FALSE()</f>
        <v>0</v>
      </c>
    </row>
    <row r="201" spans="1:12" x14ac:dyDescent="0.2">
      <c r="A201" s="4" t="s">
        <v>819</v>
      </c>
      <c r="B201" s="4" t="s">
        <v>820</v>
      </c>
      <c r="C201" s="4" t="s">
        <v>821</v>
      </c>
      <c r="D201" s="4" t="s">
        <v>111</v>
      </c>
      <c r="E201" s="4" t="s">
        <v>822</v>
      </c>
      <c r="F201" s="4" t="s">
        <v>14</v>
      </c>
      <c r="G201" s="4" t="s">
        <v>23</v>
      </c>
      <c r="H201" s="4" t="s">
        <v>107</v>
      </c>
      <c r="I201" s="4">
        <v>1110</v>
      </c>
      <c r="J201" s="4">
        <v>4554</v>
      </c>
      <c r="K201" s="4">
        <v>5</v>
      </c>
      <c r="L201" s="4" t="b">
        <f>FALSE()</f>
        <v>0</v>
      </c>
    </row>
    <row r="202" spans="1:12" x14ac:dyDescent="0.2">
      <c r="A202" s="4" t="s">
        <v>823</v>
      </c>
      <c r="B202" s="4" t="s">
        <v>824</v>
      </c>
      <c r="C202" s="4" t="s">
        <v>825</v>
      </c>
      <c r="D202" s="4" t="s">
        <v>111</v>
      </c>
      <c r="E202" s="4" t="s">
        <v>826</v>
      </c>
      <c r="F202" s="4" t="s">
        <v>10</v>
      </c>
      <c r="G202" s="4" t="s">
        <v>21</v>
      </c>
      <c r="H202" s="4" t="s">
        <v>96</v>
      </c>
      <c r="I202" s="4">
        <v>1223</v>
      </c>
      <c r="J202" s="4">
        <v>670</v>
      </c>
      <c r="K202" s="4">
        <v>4</v>
      </c>
      <c r="L202" s="4" t="b">
        <f>FALSE()</f>
        <v>0</v>
      </c>
    </row>
    <row r="203" spans="1:12" x14ac:dyDescent="0.2">
      <c r="A203" s="4" t="s">
        <v>827</v>
      </c>
      <c r="B203" s="4" t="s">
        <v>828</v>
      </c>
      <c r="C203" s="4" t="s">
        <v>829</v>
      </c>
      <c r="D203" s="4" t="s">
        <v>88</v>
      </c>
      <c r="E203" s="4" t="s">
        <v>830</v>
      </c>
      <c r="F203" s="4" t="s">
        <v>10</v>
      </c>
      <c r="G203" s="4" t="s">
        <v>24</v>
      </c>
      <c r="H203" s="4" t="s">
        <v>150</v>
      </c>
      <c r="I203" s="4">
        <v>1024</v>
      </c>
      <c r="J203" s="4">
        <v>6295</v>
      </c>
      <c r="K203" s="4">
        <v>3</v>
      </c>
      <c r="L203" s="4" t="b">
        <f>FALSE()</f>
        <v>0</v>
      </c>
    </row>
    <row r="204" spans="1:12" x14ac:dyDescent="0.2">
      <c r="A204" s="4" t="s">
        <v>831</v>
      </c>
      <c r="B204" s="4" t="s">
        <v>832</v>
      </c>
      <c r="C204" s="4" t="s">
        <v>833</v>
      </c>
      <c r="D204" s="4" t="s">
        <v>137</v>
      </c>
      <c r="E204" s="4" t="s">
        <v>834</v>
      </c>
      <c r="F204" s="4" t="s">
        <v>10</v>
      </c>
      <c r="G204" s="4" t="s">
        <v>23</v>
      </c>
      <c r="H204" s="4" t="s">
        <v>150</v>
      </c>
      <c r="I204" s="4">
        <v>2042</v>
      </c>
      <c r="J204" s="4">
        <v>3643</v>
      </c>
      <c r="K204" s="4">
        <v>4</v>
      </c>
      <c r="L204" s="4" t="b">
        <f>FALSE()</f>
        <v>0</v>
      </c>
    </row>
    <row r="205" spans="1:12" x14ac:dyDescent="0.2">
      <c r="A205" s="4" t="s">
        <v>835</v>
      </c>
      <c r="B205" s="4" t="s">
        <v>836</v>
      </c>
      <c r="C205" s="4" t="s">
        <v>837</v>
      </c>
      <c r="D205" s="4" t="s">
        <v>94</v>
      </c>
      <c r="E205" s="4" t="s">
        <v>838</v>
      </c>
      <c r="F205" s="4" t="s">
        <v>12</v>
      </c>
      <c r="G205" s="4" t="s">
        <v>22</v>
      </c>
      <c r="H205" s="4" t="s">
        <v>125</v>
      </c>
      <c r="I205" s="4">
        <v>983</v>
      </c>
      <c r="J205" s="4">
        <v>3531</v>
      </c>
      <c r="K205" s="4">
        <v>3</v>
      </c>
      <c r="L205" s="4" t="b">
        <f>FALSE()</f>
        <v>0</v>
      </c>
    </row>
    <row r="206" spans="1:12" x14ac:dyDescent="0.2">
      <c r="A206" s="4" t="s">
        <v>839</v>
      </c>
      <c r="B206" s="4" t="s">
        <v>840</v>
      </c>
      <c r="C206" s="4" t="s">
        <v>841</v>
      </c>
      <c r="D206" s="4" t="s">
        <v>137</v>
      </c>
      <c r="E206" s="4" t="s">
        <v>842</v>
      </c>
      <c r="F206" s="4" t="s">
        <v>11</v>
      </c>
      <c r="G206" s="4" t="s">
        <v>21</v>
      </c>
      <c r="H206" s="4" t="s">
        <v>150</v>
      </c>
      <c r="I206" s="4">
        <v>1210</v>
      </c>
      <c r="J206" s="4">
        <v>4190</v>
      </c>
      <c r="K206" s="4">
        <v>5</v>
      </c>
      <c r="L206" s="4" t="b">
        <f>FALSE()</f>
        <v>0</v>
      </c>
    </row>
    <row r="207" spans="1:12" x14ac:dyDescent="0.2">
      <c r="A207" s="4" t="s">
        <v>843</v>
      </c>
      <c r="B207" s="4" t="s">
        <v>844</v>
      </c>
      <c r="C207" s="4" t="s">
        <v>845</v>
      </c>
      <c r="D207" s="4" t="s">
        <v>137</v>
      </c>
      <c r="E207" s="4" t="s">
        <v>846</v>
      </c>
      <c r="F207" s="4" t="s">
        <v>14</v>
      </c>
      <c r="G207" s="4" t="s">
        <v>20</v>
      </c>
      <c r="H207" s="4" t="s">
        <v>96</v>
      </c>
      <c r="I207" s="4">
        <v>2887</v>
      </c>
      <c r="J207" s="4">
        <v>1801</v>
      </c>
      <c r="K207" s="4">
        <v>3</v>
      </c>
      <c r="L207" s="4" t="b">
        <f>FALSE()</f>
        <v>0</v>
      </c>
    </row>
    <row r="208" spans="1:12" x14ac:dyDescent="0.2">
      <c r="A208" s="4" t="s">
        <v>847</v>
      </c>
      <c r="B208" s="4" t="s">
        <v>848</v>
      </c>
      <c r="C208" s="4" t="s">
        <v>849</v>
      </c>
      <c r="D208" s="4" t="s">
        <v>94</v>
      </c>
      <c r="E208" s="4" t="s">
        <v>850</v>
      </c>
      <c r="F208" s="4" t="s">
        <v>10</v>
      </c>
      <c r="G208" s="4" t="s">
        <v>24</v>
      </c>
      <c r="H208" s="4" t="s">
        <v>96</v>
      </c>
      <c r="I208" s="4">
        <v>1587</v>
      </c>
      <c r="J208" s="4">
        <v>3855</v>
      </c>
      <c r="K208" s="4">
        <v>4</v>
      </c>
      <c r="L208" s="4" t="b">
        <f>FALSE()</f>
        <v>0</v>
      </c>
    </row>
    <row r="209" spans="1:12" x14ac:dyDescent="0.2">
      <c r="A209" s="4" t="s">
        <v>851</v>
      </c>
      <c r="B209" s="4" t="s">
        <v>852</v>
      </c>
      <c r="C209" s="4" t="s">
        <v>853</v>
      </c>
      <c r="D209" s="4" t="s">
        <v>111</v>
      </c>
      <c r="E209" s="4" t="s">
        <v>854</v>
      </c>
      <c r="F209" s="4" t="s">
        <v>11</v>
      </c>
      <c r="G209" s="4" t="s">
        <v>23</v>
      </c>
      <c r="H209" s="4" t="s">
        <v>150</v>
      </c>
      <c r="I209" s="4">
        <v>1861</v>
      </c>
      <c r="J209" s="4">
        <v>4065</v>
      </c>
      <c r="K209" s="4">
        <v>4</v>
      </c>
      <c r="L209" s="4" t="b">
        <f>FALSE()</f>
        <v>0</v>
      </c>
    </row>
    <row r="210" spans="1:12" x14ac:dyDescent="0.2">
      <c r="A210" s="4" t="s">
        <v>855</v>
      </c>
      <c r="B210" s="4" t="s">
        <v>856</v>
      </c>
      <c r="C210" s="4" t="s">
        <v>857</v>
      </c>
      <c r="D210" s="4" t="s">
        <v>100</v>
      </c>
      <c r="E210" s="4" t="s">
        <v>858</v>
      </c>
      <c r="F210" s="4" t="s">
        <v>10</v>
      </c>
      <c r="G210" s="4" t="s">
        <v>22</v>
      </c>
      <c r="H210" s="4" t="s">
        <v>150</v>
      </c>
      <c r="I210" s="4">
        <v>1475</v>
      </c>
      <c r="J210" s="4">
        <v>740</v>
      </c>
      <c r="K210" s="4">
        <v>4</v>
      </c>
      <c r="L210" s="4" t="b">
        <f>FALSE()</f>
        <v>0</v>
      </c>
    </row>
    <row r="211" spans="1:12" x14ac:dyDescent="0.2">
      <c r="A211" s="4" t="s">
        <v>859</v>
      </c>
      <c r="B211" s="4" t="s">
        <v>860</v>
      </c>
      <c r="C211" s="4" t="s">
        <v>861</v>
      </c>
      <c r="D211" s="4" t="s">
        <v>100</v>
      </c>
      <c r="E211" s="4" t="s">
        <v>236</v>
      </c>
      <c r="F211" s="4" t="s">
        <v>9</v>
      </c>
      <c r="G211" s="4" t="s">
        <v>19</v>
      </c>
      <c r="H211" s="4" t="s">
        <v>96</v>
      </c>
      <c r="I211" s="4">
        <v>1842</v>
      </c>
      <c r="J211" s="4">
        <v>3727</v>
      </c>
      <c r="K211" s="4">
        <v>5</v>
      </c>
      <c r="L211" s="4" t="b">
        <f>FALSE()</f>
        <v>0</v>
      </c>
    </row>
    <row r="212" spans="1:12" x14ac:dyDescent="0.2">
      <c r="A212" s="4" t="s">
        <v>862</v>
      </c>
      <c r="B212" s="4" t="s">
        <v>863</v>
      </c>
      <c r="C212" s="4" t="s">
        <v>864</v>
      </c>
      <c r="D212" s="4" t="s">
        <v>94</v>
      </c>
      <c r="E212" s="4" t="s">
        <v>826</v>
      </c>
      <c r="F212" s="4" t="s">
        <v>13</v>
      </c>
      <c r="G212" s="4" t="s">
        <v>19</v>
      </c>
      <c r="H212" s="4" t="s">
        <v>102</v>
      </c>
      <c r="I212" s="4">
        <v>1189</v>
      </c>
      <c r="J212" s="4">
        <v>603</v>
      </c>
      <c r="K212" s="4">
        <v>5</v>
      </c>
      <c r="L212" s="4" t="b">
        <f>FALSE()</f>
        <v>0</v>
      </c>
    </row>
    <row r="213" spans="1:12" x14ac:dyDescent="0.2">
      <c r="A213" s="4" t="s">
        <v>865</v>
      </c>
      <c r="B213" s="4" t="s">
        <v>866</v>
      </c>
      <c r="C213" s="4" t="s">
        <v>867</v>
      </c>
      <c r="D213" s="4" t="s">
        <v>94</v>
      </c>
      <c r="E213" s="4" t="s">
        <v>858</v>
      </c>
      <c r="F213" s="4" t="s">
        <v>13</v>
      </c>
      <c r="G213" s="4" t="s">
        <v>24</v>
      </c>
      <c r="H213" s="4" t="s">
        <v>102</v>
      </c>
      <c r="I213" s="4">
        <v>1014</v>
      </c>
      <c r="J213" s="4">
        <v>724</v>
      </c>
      <c r="K213" s="4">
        <v>5</v>
      </c>
      <c r="L213" s="4" t="b">
        <f>FALSE()</f>
        <v>0</v>
      </c>
    </row>
    <row r="214" spans="1:12" x14ac:dyDescent="0.2">
      <c r="A214" s="4" t="s">
        <v>868</v>
      </c>
      <c r="B214" s="4" t="s">
        <v>385</v>
      </c>
      <c r="C214" s="4" t="s">
        <v>869</v>
      </c>
      <c r="D214" s="4" t="s">
        <v>94</v>
      </c>
      <c r="E214" s="4" t="s">
        <v>870</v>
      </c>
      <c r="F214" s="4" t="s">
        <v>14</v>
      </c>
      <c r="G214" s="4" t="s">
        <v>22</v>
      </c>
      <c r="H214" s="4" t="s">
        <v>90</v>
      </c>
      <c r="I214" s="4">
        <v>702</v>
      </c>
      <c r="J214" s="4">
        <v>4703</v>
      </c>
      <c r="K214" s="4">
        <v>5</v>
      </c>
      <c r="L214" s="4" t="b">
        <f>FALSE()</f>
        <v>0</v>
      </c>
    </row>
    <row r="215" spans="1:12" x14ac:dyDescent="0.2">
      <c r="A215" s="4" t="s">
        <v>871</v>
      </c>
      <c r="B215" s="4" t="s">
        <v>872</v>
      </c>
      <c r="C215" s="4" t="s">
        <v>873</v>
      </c>
      <c r="D215" s="4" t="s">
        <v>88</v>
      </c>
      <c r="E215" s="4" t="s">
        <v>874</v>
      </c>
      <c r="F215" s="4" t="s">
        <v>14</v>
      </c>
      <c r="G215" s="4" t="s">
        <v>22</v>
      </c>
      <c r="H215" s="4" t="s">
        <v>102</v>
      </c>
      <c r="I215" s="4">
        <v>949</v>
      </c>
      <c r="J215" s="4">
        <v>5666</v>
      </c>
      <c r="K215" s="4">
        <v>5</v>
      </c>
      <c r="L215" s="4" t="b">
        <f>FALSE()</f>
        <v>0</v>
      </c>
    </row>
    <row r="216" spans="1:12" x14ac:dyDescent="0.2">
      <c r="A216" s="4" t="s">
        <v>875</v>
      </c>
      <c r="B216" s="4" t="s">
        <v>268</v>
      </c>
      <c r="C216" s="4" t="s">
        <v>876</v>
      </c>
      <c r="D216" s="4" t="s">
        <v>88</v>
      </c>
      <c r="E216" s="4" t="s">
        <v>877</v>
      </c>
      <c r="F216" s="4" t="s">
        <v>13</v>
      </c>
      <c r="G216" s="4" t="s">
        <v>18</v>
      </c>
      <c r="H216" s="4" t="s">
        <v>150</v>
      </c>
      <c r="I216" s="4">
        <v>1013</v>
      </c>
      <c r="J216" s="4">
        <v>4624</v>
      </c>
      <c r="K216" s="4">
        <v>3</v>
      </c>
      <c r="L216" s="4" t="b">
        <f>FALSE()</f>
        <v>0</v>
      </c>
    </row>
    <row r="217" spans="1:12" x14ac:dyDescent="0.2">
      <c r="A217" s="4" t="s">
        <v>878</v>
      </c>
      <c r="B217" s="4" t="s">
        <v>879</v>
      </c>
      <c r="C217" s="4" t="s">
        <v>880</v>
      </c>
      <c r="D217" s="4" t="s">
        <v>94</v>
      </c>
      <c r="E217" s="4" t="s">
        <v>881</v>
      </c>
      <c r="F217" s="4" t="s">
        <v>9</v>
      </c>
      <c r="G217" s="4" t="s">
        <v>18</v>
      </c>
      <c r="H217" s="4" t="s">
        <v>102</v>
      </c>
      <c r="I217" s="4">
        <v>1518</v>
      </c>
      <c r="J217" s="4">
        <v>4077</v>
      </c>
      <c r="K217" s="4">
        <v>5</v>
      </c>
      <c r="L217" s="4" t="b">
        <f>FALSE()</f>
        <v>0</v>
      </c>
    </row>
    <row r="218" spans="1:12" x14ac:dyDescent="0.2">
      <c r="A218" s="4" t="s">
        <v>882</v>
      </c>
      <c r="B218" s="4" t="s">
        <v>883</v>
      </c>
      <c r="C218" s="4" t="s">
        <v>884</v>
      </c>
      <c r="D218" s="4" t="s">
        <v>111</v>
      </c>
      <c r="E218" s="4" t="s">
        <v>885</v>
      </c>
      <c r="F218" s="4" t="s">
        <v>12</v>
      </c>
      <c r="G218" s="4" t="s">
        <v>21</v>
      </c>
      <c r="H218" s="4" t="s">
        <v>150</v>
      </c>
      <c r="I218" s="4">
        <v>1125</v>
      </c>
      <c r="J218" s="4">
        <v>5128</v>
      </c>
      <c r="K218" s="4">
        <v>5</v>
      </c>
      <c r="L218" s="4" t="b">
        <f>FALSE()</f>
        <v>0</v>
      </c>
    </row>
    <row r="219" spans="1:12" x14ac:dyDescent="0.2">
      <c r="A219" s="4" t="s">
        <v>886</v>
      </c>
      <c r="B219" s="4" t="s">
        <v>887</v>
      </c>
      <c r="C219" s="4" t="s">
        <v>888</v>
      </c>
      <c r="D219" s="4" t="s">
        <v>111</v>
      </c>
      <c r="E219" s="4" t="s">
        <v>889</v>
      </c>
      <c r="F219" s="4" t="s">
        <v>9</v>
      </c>
      <c r="G219" s="4" t="s">
        <v>24</v>
      </c>
      <c r="H219" s="4" t="s">
        <v>125</v>
      </c>
      <c r="I219" s="4">
        <v>1687</v>
      </c>
      <c r="J219" s="4">
        <v>709</v>
      </c>
      <c r="K219" s="4">
        <v>4</v>
      </c>
      <c r="L219" s="4" t="b">
        <f>TRUE()</f>
        <v>1</v>
      </c>
    </row>
    <row r="220" spans="1:12" x14ac:dyDescent="0.2">
      <c r="A220" s="4" t="s">
        <v>890</v>
      </c>
      <c r="B220" s="4" t="s">
        <v>891</v>
      </c>
      <c r="C220" s="4" t="s">
        <v>892</v>
      </c>
      <c r="D220" s="4" t="s">
        <v>94</v>
      </c>
      <c r="E220" s="4" t="s">
        <v>893</v>
      </c>
      <c r="F220" s="4" t="s">
        <v>9</v>
      </c>
      <c r="G220" s="4" t="s">
        <v>23</v>
      </c>
      <c r="H220" s="4" t="s">
        <v>125</v>
      </c>
      <c r="I220" s="4">
        <v>583</v>
      </c>
      <c r="J220" s="4">
        <v>5865</v>
      </c>
      <c r="K220" s="4">
        <v>5</v>
      </c>
      <c r="L220" s="4" t="b">
        <f>TRUE()</f>
        <v>1</v>
      </c>
    </row>
    <row r="221" spans="1:12" x14ac:dyDescent="0.2">
      <c r="A221" s="4" t="s">
        <v>894</v>
      </c>
      <c r="B221" s="4" t="s">
        <v>895</v>
      </c>
      <c r="C221" s="4" t="s">
        <v>896</v>
      </c>
      <c r="D221" s="4" t="s">
        <v>137</v>
      </c>
      <c r="E221" s="4" t="s">
        <v>897</v>
      </c>
      <c r="F221" s="4" t="s">
        <v>9</v>
      </c>
      <c r="G221" s="4" t="s">
        <v>24</v>
      </c>
      <c r="H221" s="4" t="s">
        <v>107</v>
      </c>
      <c r="I221" s="4">
        <v>760</v>
      </c>
      <c r="J221" s="4">
        <v>2189</v>
      </c>
      <c r="K221" s="4">
        <v>5</v>
      </c>
      <c r="L221" s="4" t="b">
        <f>FALSE()</f>
        <v>0</v>
      </c>
    </row>
    <row r="222" spans="1:12" x14ac:dyDescent="0.2">
      <c r="A222" s="4" t="s">
        <v>898</v>
      </c>
      <c r="B222" s="4" t="s">
        <v>899</v>
      </c>
      <c r="C222" s="4" t="s">
        <v>900</v>
      </c>
      <c r="D222" s="4" t="s">
        <v>137</v>
      </c>
      <c r="E222" s="4" t="s">
        <v>901</v>
      </c>
      <c r="F222" s="4" t="s">
        <v>11</v>
      </c>
      <c r="G222" s="4" t="s">
        <v>21</v>
      </c>
      <c r="H222" s="4" t="s">
        <v>102</v>
      </c>
      <c r="I222" s="4">
        <v>2139</v>
      </c>
      <c r="J222" s="4">
        <v>3224</v>
      </c>
      <c r="K222" s="4">
        <v>4</v>
      </c>
      <c r="L222" s="4" t="b">
        <f>FALSE()</f>
        <v>0</v>
      </c>
    </row>
    <row r="223" spans="1:12" x14ac:dyDescent="0.2">
      <c r="A223" s="4" t="s">
        <v>902</v>
      </c>
      <c r="B223" s="4" t="s">
        <v>903</v>
      </c>
      <c r="C223" s="4" t="s">
        <v>904</v>
      </c>
      <c r="D223" s="4" t="s">
        <v>137</v>
      </c>
      <c r="E223" s="4" t="s">
        <v>874</v>
      </c>
      <c r="F223" s="4" t="s">
        <v>10</v>
      </c>
      <c r="G223" s="4" t="s">
        <v>21</v>
      </c>
      <c r="H223" s="4" t="s">
        <v>102</v>
      </c>
      <c r="I223" s="4">
        <v>2863</v>
      </c>
      <c r="J223" s="4">
        <v>5903</v>
      </c>
      <c r="K223" s="4">
        <v>3</v>
      </c>
      <c r="L223" s="4" t="b">
        <f>FALSE()</f>
        <v>0</v>
      </c>
    </row>
    <row r="224" spans="1:12" x14ac:dyDescent="0.2">
      <c r="A224" s="4" t="s">
        <v>905</v>
      </c>
      <c r="B224" s="4" t="s">
        <v>104</v>
      </c>
      <c r="C224" s="4" t="s">
        <v>906</v>
      </c>
      <c r="D224" s="4" t="s">
        <v>88</v>
      </c>
      <c r="E224" s="4" t="s">
        <v>907</v>
      </c>
      <c r="F224" s="4" t="s">
        <v>10</v>
      </c>
      <c r="G224" s="4" t="s">
        <v>21</v>
      </c>
      <c r="H224" s="4" t="s">
        <v>90</v>
      </c>
      <c r="I224" s="4">
        <v>835</v>
      </c>
      <c r="J224" s="4">
        <v>2663</v>
      </c>
      <c r="K224" s="4">
        <v>5</v>
      </c>
      <c r="L224" s="4" t="b">
        <f>FALSE()</f>
        <v>0</v>
      </c>
    </row>
    <row r="225" spans="1:12" x14ac:dyDescent="0.2">
      <c r="A225" s="4" t="s">
        <v>908</v>
      </c>
      <c r="B225" s="4" t="s">
        <v>909</v>
      </c>
      <c r="C225" s="4" t="s">
        <v>910</v>
      </c>
      <c r="D225" s="4" t="s">
        <v>100</v>
      </c>
      <c r="E225" s="4" t="s">
        <v>650</v>
      </c>
      <c r="F225" s="4" t="s">
        <v>9</v>
      </c>
      <c r="G225" s="4" t="s">
        <v>24</v>
      </c>
      <c r="H225" s="4" t="s">
        <v>125</v>
      </c>
      <c r="I225" s="4">
        <v>1462</v>
      </c>
      <c r="J225" s="4">
        <v>5223</v>
      </c>
      <c r="K225" s="4">
        <v>4</v>
      </c>
      <c r="L225" s="4" t="b">
        <f>FALSE()</f>
        <v>0</v>
      </c>
    </row>
    <row r="226" spans="1:12" x14ac:dyDescent="0.2">
      <c r="A226" s="4" t="s">
        <v>911</v>
      </c>
      <c r="B226" s="4" t="s">
        <v>912</v>
      </c>
      <c r="C226" s="4" t="s">
        <v>913</v>
      </c>
      <c r="D226" s="4" t="s">
        <v>137</v>
      </c>
      <c r="E226" s="4" t="s">
        <v>914</v>
      </c>
      <c r="F226" s="4" t="s">
        <v>12</v>
      </c>
      <c r="G226" s="4" t="s">
        <v>23</v>
      </c>
      <c r="H226" s="4" t="s">
        <v>150</v>
      </c>
      <c r="I226" s="4">
        <v>2837</v>
      </c>
      <c r="J226" s="4">
        <v>2031</v>
      </c>
      <c r="K226" s="4">
        <v>5</v>
      </c>
      <c r="L226" s="4" t="b">
        <f>FALSE()</f>
        <v>0</v>
      </c>
    </row>
    <row r="227" spans="1:12" x14ac:dyDescent="0.2">
      <c r="A227" s="4" t="s">
        <v>915</v>
      </c>
      <c r="B227" s="4" t="s">
        <v>916</v>
      </c>
      <c r="C227" s="4" t="s">
        <v>917</v>
      </c>
      <c r="D227" s="4" t="s">
        <v>137</v>
      </c>
      <c r="E227" s="4" t="s">
        <v>566</v>
      </c>
      <c r="F227" s="4" t="s">
        <v>14</v>
      </c>
      <c r="G227" s="4" t="s">
        <v>20</v>
      </c>
      <c r="H227" s="4" t="s">
        <v>96</v>
      </c>
      <c r="I227" s="4">
        <v>1974</v>
      </c>
      <c r="J227" s="4">
        <v>4648</v>
      </c>
      <c r="K227" s="4">
        <v>3</v>
      </c>
      <c r="L227" s="4" t="b">
        <f>FALSE()</f>
        <v>0</v>
      </c>
    </row>
    <row r="228" spans="1:12" x14ac:dyDescent="0.2">
      <c r="A228" s="4" t="s">
        <v>918</v>
      </c>
      <c r="B228" s="4" t="s">
        <v>707</v>
      </c>
      <c r="C228" s="4" t="s">
        <v>919</v>
      </c>
      <c r="D228" s="4" t="s">
        <v>94</v>
      </c>
      <c r="E228" s="4" t="s">
        <v>920</v>
      </c>
      <c r="F228" s="4" t="s">
        <v>14</v>
      </c>
      <c r="G228" s="4" t="s">
        <v>21</v>
      </c>
      <c r="H228" s="4" t="s">
        <v>90</v>
      </c>
      <c r="I228" s="4">
        <v>834</v>
      </c>
      <c r="J228" s="4">
        <v>1926</v>
      </c>
      <c r="K228" s="4">
        <v>4</v>
      </c>
      <c r="L228" s="4" t="b">
        <f>FALSE()</f>
        <v>0</v>
      </c>
    </row>
    <row r="229" spans="1:12" x14ac:dyDescent="0.2">
      <c r="A229" s="4" t="s">
        <v>921</v>
      </c>
      <c r="B229" s="4" t="s">
        <v>147</v>
      </c>
      <c r="C229" s="4" t="s">
        <v>922</v>
      </c>
      <c r="D229" s="4" t="s">
        <v>100</v>
      </c>
      <c r="E229" s="4" t="s">
        <v>923</v>
      </c>
      <c r="F229" s="4" t="s">
        <v>13</v>
      </c>
      <c r="G229" s="4" t="s">
        <v>19</v>
      </c>
      <c r="H229" s="4" t="s">
        <v>107</v>
      </c>
      <c r="I229" s="4">
        <v>986</v>
      </c>
      <c r="J229" s="4">
        <v>1357</v>
      </c>
      <c r="K229" s="4">
        <v>5</v>
      </c>
      <c r="L229" s="4" t="b">
        <f>FALSE()</f>
        <v>0</v>
      </c>
    </row>
    <row r="230" spans="1:12" x14ac:dyDescent="0.2">
      <c r="A230" s="4" t="s">
        <v>924</v>
      </c>
      <c r="B230" s="4" t="s">
        <v>925</v>
      </c>
      <c r="C230" s="4" t="s">
        <v>926</v>
      </c>
      <c r="D230" s="4" t="s">
        <v>133</v>
      </c>
      <c r="E230" s="4" t="s">
        <v>89</v>
      </c>
      <c r="F230" s="4" t="s">
        <v>12</v>
      </c>
      <c r="G230" s="4" t="s">
        <v>19</v>
      </c>
      <c r="H230" s="4" t="s">
        <v>107</v>
      </c>
      <c r="I230" s="4">
        <v>1758</v>
      </c>
      <c r="J230" s="4">
        <v>1695</v>
      </c>
      <c r="K230" s="4">
        <v>5</v>
      </c>
      <c r="L230" s="4" t="b">
        <f>FALSE()</f>
        <v>0</v>
      </c>
    </row>
    <row r="231" spans="1:12" x14ac:dyDescent="0.2">
      <c r="A231" s="4" t="s">
        <v>927</v>
      </c>
      <c r="B231" s="4" t="s">
        <v>928</v>
      </c>
      <c r="C231" s="4" t="s">
        <v>929</v>
      </c>
      <c r="D231" s="4" t="s">
        <v>133</v>
      </c>
      <c r="E231" s="4" t="s">
        <v>129</v>
      </c>
      <c r="F231" s="4" t="s">
        <v>11</v>
      </c>
      <c r="G231" s="4" t="s">
        <v>18</v>
      </c>
      <c r="H231" s="4" t="s">
        <v>90</v>
      </c>
      <c r="I231" s="4">
        <v>1858</v>
      </c>
      <c r="J231" s="4">
        <v>1922</v>
      </c>
      <c r="K231" s="4">
        <v>4</v>
      </c>
      <c r="L231" s="4" t="b">
        <f>FALSE()</f>
        <v>0</v>
      </c>
    </row>
    <row r="232" spans="1:12" x14ac:dyDescent="0.2">
      <c r="A232" s="4" t="s">
        <v>930</v>
      </c>
      <c r="B232" s="4" t="s">
        <v>931</v>
      </c>
      <c r="C232" s="4" t="s">
        <v>932</v>
      </c>
      <c r="D232" s="4" t="s">
        <v>137</v>
      </c>
      <c r="E232" s="4" t="s">
        <v>327</v>
      </c>
      <c r="F232" s="4" t="s">
        <v>10</v>
      </c>
      <c r="G232" s="4" t="s">
        <v>23</v>
      </c>
      <c r="H232" s="4" t="s">
        <v>102</v>
      </c>
      <c r="I232" s="4">
        <v>1091</v>
      </c>
      <c r="J232" s="4">
        <v>4063</v>
      </c>
      <c r="K232" s="4">
        <v>5</v>
      </c>
      <c r="L232" s="4" t="b">
        <f>FALSE()</f>
        <v>0</v>
      </c>
    </row>
    <row r="233" spans="1:12" x14ac:dyDescent="0.2">
      <c r="A233" s="4" t="s">
        <v>933</v>
      </c>
      <c r="B233" s="4" t="s">
        <v>578</v>
      </c>
      <c r="C233" s="4" t="s">
        <v>934</v>
      </c>
      <c r="D233" s="4" t="s">
        <v>88</v>
      </c>
      <c r="E233" s="4" t="s">
        <v>935</v>
      </c>
      <c r="F233" s="4" t="s">
        <v>12</v>
      </c>
      <c r="G233" s="4" t="s">
        <v>21</v>
      </c>
      <c r="H233" s="4" t="s">
        <v>125</v>
      </c>
      <c r="I233" s="4">
        <v>1951</v>
      </c>
      <c r="J233" s="4">
        <v>1830</v>
      </c>
      <c r="K233" s="4">
        <v>4</v>
      </c>
      <c r="L233" s="4" t="b">
        <f>FALSE()</f>
        <v>0</v>
      </c>
    </row>
    <row r="234" spans="1:12" x14ac:dyDescent="0.2">
      <c r="A234" s="4" t="s">
        <v>936</v>
      </c>
      <c r="B234" s="4" t="s">
        <v>937</v>
      </c>
      <c r="C234" s="4" t="s">
        <v>938</v>
      </c>
      <c r="D234" s="4" t="s">
        <v>137</v>
      </c>
      <c r="E234" s="4" t="s">
        <v>939</v>
      </c>
      <c r="F234" s="4" t="s">
        <v>12</v>
      </c>
      <c r="G234" s="4" t="s">
        <v>24</v>
      </c>
      <c r="H234" s="4" t="s">
        <v>102</v>
      </c>
      <c r="I234" s="4">
        <v>1126</v>
      </c>
      <c r="J234" s="4">
        <v>4531</v>
      </c>
      <c r="K234" s="4">
        <v>4</v>
      </c>
      <c r="L234" s="4" t="b">
        <f>FALSE()</f>
        <v>0</v>
      </c>
    </row>
    <row r="235" spans="1:12" x14ac:dyDescent="0.2">
      <c r="A235" s="4" t="s">
        <v>940</v>
      </c>
      <c r="B235" s="4" t="s">
        <v>941</v>
      </c>
      <c r="C235" s="4" t="s">
        <v>942</v>
      </c>
      <c r="D235" s="4" t="s">
        <v>133</v>
      </c>
      <c r="E235" s="4" t="s">
        <v>943</v>
      </c>
      <c r="F235" s="4" t="s">
        <v>14</v>
      </c>
      <c r="G235" s="4" t="s">
        <v>23</v>
      </c>
      <c r="H235" s="4" t="s">
        <v>150</v>
      </c>
      <c r="I235" s="4">
        <v>1743</v>
      </c>
      <c r="J235" s="4">
        <v>5249</v>
      </c>
      <c r="K235" s="4">
        <v>5</v>
      </c>
      <c r="L235" s="4" t="b">
        <f>FALSE()</f>
        <v>0</v>
      </c>
    </row>
    <row r="236" spans="1:12" x14ac:dyDescent="0.2">
      <c r="A236" s="4" t="s">
        <v>944</v>
      </c>
      <c r="B236" s="4" t="s">
        <v>945</v>
      </c>
      <c r="C236" s="4" t="s">
        <v>946</v>
      </c>
      <c r="D236" s="4" t="s">
        <v>133</v>
      </c>
      <c r="E236" s="4" t="s">
        <v>947</v>
      </c>
      <c r="F236" s="4" t="s">
        <v>10</v>
      </c>
      <c r="G236" s="4" t="s">
        <v>23</v>
      </c>
      <c r="H236" s="4" t="s">
        <v>102</v>
      </c>
      <c r="I236" s="4">
        <v>1410</v>
      </c>
      <c r="J236" s="4">
        <v>4103</v>
      </c>
      <c r="K236" s="4">
        <v>5</v>
      </c>
      <c r="L236" s="4" t="b">
        <f>FALSE()</f>
        <v>0</v>
      </c>
    </row>
    <row r="237" spans="1:12" x14ac:dyDescent="0.2">
      <c r="A237" s="4" t="s">
        <v>948</v>
      </c>
      <c r="B237" s="4" t="s">
        <v>949</v>
      </c>
      <c r="C237" s="4" t="s">
        <v>950</v>
      </c>
      <c r="D237" s="4" t="s">
        <v>100</v>
      </c>
      <c r="E237" s="4" t="s">
        <v>218</v>
      </c>
      <c r="F237" s="4" t="s">
        <v>14</v>
      </c>
      <c r="G237" s="4" t="s">
        <v>24</v>
      </c>
      <c r="H237" s="4" t="s">
        <v>125</v>
      </c>
      <c r="I237" s="4">
        <v>2292</v>
      </c>
      <c r="J237" s="4">
        <v>5999</v>
      </c>
      <c r="K237" s="4">
        <v>5</v>
      </c>
      <c r="L237" s="4" t="b">
        <f>FALSE()</f>
        <v>0</v>
      </c>
    </row>
    <row r="238" spans="1:12" x14ac:dyDescent="0.2">
      <c r="A238" s="4" t="s">
        <v>951</v>
      </c>
      <c r="B238" s="4" t="s">
        <v>952</v>
      </c>
      <c r="C238" s="4" t="s">
        <v>953</v>
      </c>
      <c r="D238" s="4" t="s">
        <v>94</v>
      </c>
      <c r="E238" s="4" t="s">
        <v>842</v>
      </c>
      <c r="F238" s="4" t="s">
        <v>10</v>
      </c>
      <c r="G238" s="4" t="s">
        <v>24</v>
      </c>
      <c r="H238" s="4" t="s">
        <v>107</v>
      </c>
      <c r="I238" s="4">
        <v>1208</v>
      </c>
      <c r="J238" s="4">
        <v>615</v>
      </c>
      <c r="K238" s="4">
        <v>4</v>
      </c>
      <c r="L238" s="4" t="b">
        <f>FALSE()</f>
        <v>0</v>
      </c>
    </row>
    <row r="239" spans="1:12" x14ac:dyDescent="0.2">
      <c r="A239" s="4" t="s">
        <v>954</v>
      </c>
      <c r="B239" s="4" t="s">
        <v>955</v>
      </c>
      <c r="C239" s="4" t="s">
        <v>956</v>
      </c>
      <c r="D239" s="4" t="s">
        <v>94</v>
      </c>
      <c r="E239" s="4" t="s">
        <v>346</v>
      </c>
      <c r="F239" s="4" t="s">
        <v>13</v>
      </c>
      <c r="G239" s="4" t="s">
        <v>22</v>
      </c>
      <c r="H239" s="4" t="s">
        <v>150</v>
      </c>
      <c r="I239" s="4">
        <v>850</v>
      </c>
      <c r="J239" s="4">
        <v>3594</v>
      </c>
      <c r="K239" s="4">
        <v>5</v>
      </c>
      <c r="L239" s="4" t="b">
        <f>FALSE()</f>
        <v>0</v>
      </c>
    </row>
    <row r="240" spans="1:12" x14ac:dyDescent="0.2">
      <c r="A240" s="4" t="s">
        <v>957</v>
      </c>
      <c r="B240" s="4" t="s">
        <v>958</v>
      </c>
      <c r="C240" s="4" t="s">
        <v>959</v>
      </c>
      <c r="D240" s="4" t="s">
        <v>111</v>
      </c>
      <c r="E240" s="4" t="s">
        <v>331</v>
      </c>
      <c r="F240" s="4" t="s">
        <v>11</v>
      </c>
      <c r="G240" s="4" t="s">
        <v>18</v>
      </c>
      <c r="H240" s="4" t="s">
        <v>125</v>
      </c>
      <c r="I240" s="4">
        <v>1765</v>
      </c>
      <c r="J240" s="4">
        <v>1715</v>
      </c>
      <c r="K240" s="4">
        <v>5</v>
      </c>
      <c r="L240" s="4" t="b">
        <f>FALSE()</f>
        <v>0</v>
      </c>
    </row>
    <row r="241" spans="1:12" x14ac:dyDescent="0.2">
      <c r="A241" s="4" t="s">
        <v>960</v>
      </c>
      <c r="B241" s="4" t="s">
        <v>961</v>
      </c>
      <c r="C241" s="4" t="s">
        <v>962</v>
      </c>
      <c r="D241" s="4" t="s">
        <v>137</v>
      </c>
      <c r="E241" s="4" t="s">
        <v>935</v>
      </c>
      <c r="F241" s="4" t="s">
        <v>9</v>
      </c>
      <c r="G241" s="4" t="s">
        <v>20</v>
      </c>
      <c r="H241" s="4" t="s">
        <v>102</v>
      </c>
      <c r="I241" s="4">
        <v>1934</v>
      </c>
      <c r="J241" s="4">
        <v>2421</v>
      </c>
      <c r="K241" s="4">
        <v>5</v>
      </c>
      <c r="L241" s="4" t="b">
        <f>FALSE()</f>
        <v>0</v>
      </c>
    </row>
    <row r="242" spans="1:12" x14ac:dyDescent="0.2">
      <c r="A242" s="4" t="s">
        <v>963</v>
      </c>
      <c r="B242" s="4" t="s">
        <v>964</v>
      </c>
      <c r="C242" s="4" t="s">
        <v>965</v>
      </c>
      <c r="D242" s="4" t="s">
        <v>100</v>
      </c>
      <c r="E242" s="4" t="s">
        <v>966</v>
      </c>
      <c r="F242" s="4" t="s">
        <v>10</v>
      </c>
      <c r="G242" s="4" t="s">
        <v>22</v>
      </c>
      <c r="H242" s="4" t="s">
        <v>96</v>
      </c>
      <c r="I242" s="4">
        <v>687</v>
      </c>
      <c r="J242" s="4">
        <v>5605</v>
      </c>
      <c r="K242" s="4">
        <v>2</v>
      </c>
      <c r="L242" s="4" t="b">
        <f>FALSE()</f>
        <v>0</v>
      </c>
    </row>
    <row r="243" spans="1:12" x14ac:dyDescent="0.2">
      <c r="A243" s="4" t="s">
        <v>967</v>
      </c>
      <c r="B243" s="4" t="s">
        <v>624</v>
      </c>
      <c r="C243" s="4" t="s">
        <v>968</v>
      </c>
      <c r="D243" s="4" t="s">
        <v>94</v>
      </c>
      <c r="E243" s="4" t="s">
        <v>969</v>
      </c>
      <c r="F243" s="4" t="s">
        <v>12</v>
      </c>
      <c r="G243" s="4" t="s">
        <v>24</v>
      </c>
      <c r="H243" s="4" t="s">
        <v>150</v>
      </c>
      <c r="I243" s="4">
        <v>1362</v>
      </c>
      <c r="J243" s="4">
        <v>3741</v>
      </c>
      <c r="K243" s="4">
        <v>5</v>
      </c>
      <c r="L243" s="4" t="b">
        <f>FALSE()</f>
        <v>0</v>
      </c>
    </row>
    <row r="244" spans="1:12" x14ac:dyDescent="0.2">
      <c r="A244" s="4" t="s">
        <v>970</v>
      </c>
      <c r="B244" s="4" t="s">
        <v>971</v>
      </c>
      <c r="C244" s="4" t="s">
        <v>972</v>
      </c>
      <c r="D244" s="4" t="s">
        <v>137</v>
      </c>
      <c r="E244" s="4" t="s">
        <v>576</v>
      </c>
      <c r="F244" s="4" t="s">
        <v>12</v>
      </c>
      <c r="G244" s="4" t="s">
        <v>22</v>
      </c>
      <c r="H244" s="4" t="s">
        <v>125</v>
      </c>
      <c r="I244" s="4">
        <v>1924</v>
      </c>
      <c r="J244" s="4">
        <v>3123</v>
      </c>
      <c r="K244" s="4">
        <v>3</v>
      </c>
      <c r="L244" s="4" t="b">
        <f>FALSE()</f>
        <v>0</v>
      </c>
    </row>
    <row r="245" spans="1:12" x14ac:dyDescent="0.2">
      <c r="A245" s="4" t="s">
        <v>973</v>
      </c>
      <c r="B245" s="4" t="s">
        <v>856</v>
      </c>
      <c r="C245" s="4" t="s">
        <v>974</v>
      </c>
      <c r="D245" s="4" t="s">
        <v>133</v>
      </c>
      <c r="E245" s="4" t="s">
        <v>95</v>
      </c>
      <c r="F245" s="4" t="s">
        <v>11</v>
      </c>
      <c r="G245" s="4" t="s">
        <v>23</v>
      </c>
      <c r="H245" s="4" t="s">
        <v>90</v>
      </c>
      <c r="I245" s="4">
        <v>1473</v>
      </c>
      <c r="J245" s="4">
        <v>1938</v>
      </c>
      <c r="K245" s="4">
        <v>5</v>
      </c>
      <c r="L245" s="4" t="b">
        <f>FALSE()</f>
        <v>0</v>
      </c>
    </row>
    <row r="246" spans="1:12" x14ac:dyDescent="0.2">
      <c r="A246" s="4" t="s">
        <v>975</v>
      </c>
      <c r="B246" s="4" t="s">
        <v>976</v>
      </c>
      <c r="C246" s="4" t="s">
        <v>977</v>
      </c>
      <c r="D246" s="4" t="s">
        <v>137</v>
      </c>
      <c r="E246" s="4" t="s">
        <v>978</v>
      </c>
      <c r="F246" s="4" t="s">
        <v>14</v>
      </c>
      <c r="G246" s="4" t="s">
        <v>19</v>
      </c>
      <c r="H246" s="4" t="s">
        <v>125</v>
      </c>
      <c r="I246" s="4">
        <v>2451</v>
      </c>
      <c r="J246" s="4">
        <v>6116</v>
      </c>
      <c r="K246" s="4">
        <v>5</v>
      </c>
      <c r="L246" s="4" t="b">
        <f>FALSE()</f>
        <v>0</v>
      </c>
    </row>
    <row r="247" spans="1:12" x14ac:dyDescent="0.2">
      <c r="A247" s="4" t="s">
        <v>979</v>
      </c>
      <c r="B247" s="4" t="s">
        <v>980</v>
      </c>
      <c r="C247" s="4" t="s">
        <v>981</v>
      </c>
      <c r="D247" s="4" t="s">
        <v>100</v>
      </c>
      <c r="E247" s="4" t="s">
        <v>186</v>
      </c>
      <c r="F247" s="4" t="s">
        <v>14</v>
      </c>
      <c r="G247" s="4" t="s">
        <v>20</v>
      </c>
      <c r="H247" s="4" t="s">
        <v>107</v>
      </c>
      <c r="I247" s="4">
        <v>943</v>
      </c>
      <c r="J247" s="4">
        <v>4082</v>
      </c>
      <c r="K247" s="4">
        <v>5</v>
      </c>
      <c r="L247" s="4" t="b">
        <f>FALSE()</f>
        <v>0</v>
      </c>
    </row>
    <row r="248" spans="1:12" x14ac:dyDescent="0.2">
      <c r="A248" s="4" t="s">
        <v>982</v>
      </c>
      <c r="B248" s="4" t="s">
        <v>983</v>
      </c>
      <c r="C248" s="4" t="s">
        <v>984</v>
      </c>
      <c r="D248" s="4" t="s">
        <v>137</v>
      </c>
      <c r="E248" s="4" t="s">
        <v>985</v>
      </c>
      <c r="F248" s="4" t="s">
        <v>11</v>
      </c>
      <c r="G248" s="4" t="s">
        <v>18</v>
      </c>
      <c r="H248" s="4" t="s">
        <v>90</v>
      </c>
      <c r="I248" s="4">
        <v>1013</v>
      </c>
      <c r="J248" s="4">
        <v>2333</v>
      </c>
      <c r="K248" s="4">
        <v>4</v>
      </c>
      <c r="L248" s="4" t="b">
        <f>FALSE()</f>
        <v>0</v>
      </c>
    </row>
    <row r="249" spans="1:12" x14ac:dyDescent="0.2">
      <c r="A249" s="4" t="s">
        <v>986</v>
      </c>
      <c r="B249" s="4" t="s">
        <v>987</v>
      </c>
      <c r="C249" s="4" t="s">
        <v>988</v>
      </c>
      <c r="D249" s="4" t="s">
        <v>133</v>
      </c>
      <c r="E249" s="4" t="s">
        <v>838</v>
      </c>
      <c r="F249" s="4" t="s">
        <v>13</v>
      </c>
      <c r="G249" s="4" t="s">
        <v>19</v>
      </c>
      <c r="H249" s="4" t="s">
        <v>90</v>
      </c>
      <c r="I249" s="4">
        <v>980</v>
      </c>
      <c r="J249" s="4">
        <v>494</v>
      </c>
      <c r="K249" s="4">
        <v>5</v>
      </c>
      <c r="L249" s="4" t="b">
        <f>FALSE()</f>
        <v>0</v>
      </c>
    </row>
    <row r="250" spans="1:12" x14ac:dyDescent="0.2">
      <c r="A250" s="4" t="s">
        <v>989</v>
      </c>
      <c r="B250" s="4" t="s">
        <v>990</v>
      </c>
      <c r="C250" s="4" t="s">
        <v>991</v>
      </c>
      <c r="D250" s="4" t="s">
        <v>88</v>
      </c>
      <c r="E250" s="4" t="s">
        <v>252</v>
      </c>
      <c r="F250" s="4" t="s">
        <v>9</v>
      </c>
      <c r="G250" s="4" t="s">
        <v>22</v>
      </c>
      <c r="H250" s="4" t="s">
        <v>107</v>
      </c>
      <c r="I250" s="4">
        <v>1100</v>
      </c>
      <c r="J250" s="4">
        <v>2791</v>
      </c>
      <c r="K250" s="4">
        <v>2</v>
      </c>
      <c r="L250" s="4" t="b">
        <f>FALSE()</f>
        <v>0</v>
      </c>
    </row>
    <row r="251" spans="1:12" x14ac:dyDescent="0.2">
      <c r="A251" s="4" t="s">
        <v>992</v>
      </c>
      <c r="B251" s="4" t="s">
        <v>164</v>
      </c>
      <c r="C251" s="4" t="s">
        <v>993</v>
      </c>
      <c r="D251" s="4" t="s">
        <v>100</v>
      </c>
      <c r="E251" s="4" t="s">
        <v>331</v>
      </c>
      <c r="F251" s="4" t="s">
        <v>10</v>
      </c>
      <c r="G251" s="4" t="s">
        <v>21</v>
      </c>
      <c r="H251" s="4" t="s">
        <v>150</v>
      </c>
      <c r="I251" s="4">
        <v>1155</v>
      </c>
      <c r="J251" s="4">
        <v>3128</v>
      </c>
      <c r="K251" s="4">
        <v>5</v>
      </c>
      <c r="L251" s="4" t="b">
        <f>FALSE()</f>
        <v>0</v>
      </c>
    </row>
    <row r="252" spans="1:12" x14ac:dyDescent="0.2">
      <c r="A252" s="4" t="s">
        <v>994</v>
      </c>
      <c r="B252" s="4" t="s">
        <v>772</v>
      </c>
      <c r="C252" s="4" t="s">
        <v>995</v>
      </c>
      <c r="D252" s="4" t="s">
        <v>88</v>
      </c>
      <c r="E252" s="4" t="s">
        <v>996</v>
      </c>
      <c r="F252" s="4" t="s">
        <v>13</v>
      </c>
      <c r="G252" s="4" t="s">
        <v>22</v>
      </c>
      <c r="H252" s="4" t="s">
        <v>96</v>
      </c>
      <c r="I252" s="4">
        <v>865</v>
      </c>
      <c r="J252" s="4">
        <v>3539</v>
      </c>
      <c r="K252" s="4">
        <v>5</v>
      </c>
      <c r="L252" s="4" t="b">
        <f>FALSE()</f>
        <v>0</v>
      </c>
    </row>
    <row r="253" spans="1:12" x14ac:dyDescent="0.2">
      <c r="A253" s="4" t="s">
        <v>997</v>
      </c>
      <c r="B253" s="4" t="s">
        <v>998</v>
      </c>
      <c r="C253" s="4" t="s">
        <v>999</v>
      </c>
      <c r="D253" s="4" t="s">
        <v>100</v>
      </c>
      <c r="E253" s="4" t="s">
        <v>679</v>
      </c>
      <c r="F253" s="4" t="s">
        <v>12</v>
      </c>
      <c r="G253" s="4" t="s">
        <v>21</v>
      </c>
      <c r="H253" s="4" t="s">
        <v>107</v>
      </c>
      <c r="I253" s="4">
        <v>1554</v>
      </c>
      <c r="J253" s="4">
        <v>2357</v>
      </c>
      <c r="K253" s="4">
        <v>5</v>
      </c>
      <c r="L253" s="4" t="b">
        <f>FALSE()</f>
        <v>0</v>
      </c>
    </row>
    <row r="254" spans="1:12" x14ac:dyDescent="0.2">
      <c r="A254" s="4" t="s">
        <v>1000</v>
      </c>
      <c r="B254" s="4" t="s">
        <v>1001</v>
      </c>
      <c r="C254" s="4" t="s">
        <v>1002</v>
      </c>
      <c r="D254" s="4" t="s">
        <v>133</v>
      </c>
      <c r="E254" s="4" t="s">
        <v>1003</v>
      </c>
      <c r="F254" s="4" t="s">
        <v>13</v>
      </c>
      <c r="G254" s="4" t="s">
        <v>22</v>
      </c>
      <c r="H254" s="4" t="s">
        <v>107</v>
      </c>
      <c r="I254" s="4">
        <v>2831</v>
      </c>
      <c r="J254" s="4">
        <v>5449</v>
      </c>
      <c r="K254" s="4">
        <v>4</v>
      </c>
      <c r="L254" s="4" t="b">
        <f>FALSE()</f>
        <v>0</v>
      </c>
    </row>
    <row r="255" spans="1:12" x14ac:dyDescent="0.2">
      <c r="A255" s="4" t="s">
        <v>1004</v>
      </c>
      <c r="B255" s="4" t="s">
        <v>1005</v>
      </c>
      <c r="C255" s="4" t="s">
        <v>1006</v>
      </c>
      <c r="D255" s="4" t="s">
        <v>100</v>
      </c>
      <c r="E255" s="4" t="s">
        <v>372</v>
      </c>
      <c r="F255" s="4" t="s">
        <v>13</v>
      </c>
      <c r="G255" s="4" t="s">
        <v>23</v>
      </c>
      <c r="H255" s="4" t="s">
        <v>96</v>
      </c>
      <c r="I255" s="4">
        <v>1202</v>
      </c>
      <c r="J255" s="4">
        <v>1101</v>
      </c>
      <c r="K255" s="4">
        <v>4</v>
      </c>
      <c r="L255" s="4" t="b">
        <f>FALSE()</f>
        <v>0</v>
      </c>
    </row>
    <row r="256" spans="1:12" x14ac:dyDescent="0.2">
      <c r="A256" s="4" t="s">
        <v>1007</v>
      </c>
      <c r="B256" s="4" t="s">
        <v>1008</v>
      </c>
      <c r="C256" s="4" t="s">
        <v>1009</v>
      </c>
      <c r="D256" s="4" t="s">
        <v>133</v>
      </c>
      <c r="E256" s="4" t="s">
        <v>1010</v>
      </c>
      <c r="F256" s="4" t="s">
        <v>12</v>
      </c>
      <c r="G256" s="4" t="s">
        <v>22</v>
      </c>
      <c r="H256" s="4" t="s">
        <v>90</v>
      </c>
      <c r="I256" s="4">
        <v>1131</v>
      </c>
      <c r="J256" s="4">
        <v>4481</v>
      </c>
      <c r="K256" s="4">
        <v>4</v>
      </c>
      <c r="L256" s="4" t="b">
        <f>FALSE()</f>
        <v>0</v>
      </c>
    </row>
    <row r="257" spans="1:12" x14ac:dyDescent="0.2">
      <c r="A257" s="4" t="s">
        <v>1011</v>
      </c>
      <c r="B257" s="4" t="s">
        <v>1012</v>
      </c>
      <c r="C257" s="4" t="s">
        <v>1013</v>
      </c>
      <c r="D257" s="4" t="s">
        <v>111</v>
      </c>
      <c r="E257" s="4" t="s">
        <v>182</v>
      </c>
      <c r="F257" s="4" t="s">
        <v>10</v>
      </c>
      <c r="G257" s="4" t="s">
        <v>21</v>
      </c>
      <c r="H257" s="4" t="s">
        <v>96</v>
      </c>
      <c r="I257" s="4">
        <v>2912</v>
      </c>
      <c r="J257" s="4">
        <v>4109</v>
      </c>
      <c r="K257" s="4">
        <v>4</v>
      </c>
      <c r="L257" s="4" t="b">
        <f>FALSE()</f>
        <v>0</v>
      </c>
    </row>
    <row r="258" spans="1:12" x14ac:dyDescent="0.2">
      <c r="A258" s="4" t="s">
        <v>1014</v>
      </c>
      <c r="B258" s="4" t="s">
        <v>1015</v>
      </c>
      <c r="C258" s="4" t="s">
        <v>1016</v>
      </c>
      <c r="D258" s="4" t="s">
        <v>88</v>
      </c>
      <c r="E258" s="4" t="s">
        <v>1017</v>
      </c>
      <c r="F258" s="4" t="s">
        <v>9</v>
      </c>
      <c r="G258" s="4" t="s">
        <v>23</v>
      </c>
      <c r="H258" s="4" t="s">
        <v>125</v>
      </c>
      <c r="I258" s="4">
        <v>1331</v>
      </c>
      <c r="J258" s="4">
        <v>4732</v>
      </c>
      <c r="K258" s="4">
        <v>5</v>
      </c>
      <c r="L258" s="4" t="b">
        <f>TRUE()</f>
        <v>1</v>
      </c>
    </row>
    <row r="259" spans="1:12" x14ac:dyDescent="0.2">
      <c r="A259" s="4" t="s">
        <v>1018</v>
      </c>
      <c r="B259" s="4" t="s">
        <v>591</v>
      </c>
      <c r="C259" s="4" t="s">
        <v>1019</v>
      </c>
      <c r="D259" s="4" t="s">
        <v>137</v>
      </c>
      <c r="E259" s="4" t="s">
        <v>1020</v>
      </c>
      <c r="F259" s="4" t="s">
        <v>13</v>
      </c>
      <c r="G259" s="4" t="s">
        <v>24</v>
      </c>
      <c r="H259" s="4" t="s">
        <v>102</v>
      </c>
      <c r="I259" s="4">
        <v>1409</v>
      </c>
      <c r="J259" s="4">
        <v>4091</v>
      </c>
      <c r="K259" s="4">
        <v>5</v>
      </c>
      <c r="L259" s="4" t="b">
        <f>FALSE()</f>
        <v>0</v>
      </c>
    </row>
    <row r="260" spans="1:12" x14ac:dyDescent="0.2">
      <c r="A260" s="4" t="s">
        <v>1021</v>
      </c>
      <c r="B260" s="4" t="s">
        <v>238</v>
      </c>
      <c r="C260" s="4" t="s">
        <v>1022</v>
      </c>
      <c r="D260" s="4" t="s">
        <v>133</v>
      </c>
      <c r="E260" s="4" t="s">
        <v>1023</v>
      </c>
      <c r="F260" s="4" t="s">
        <v>12</v>
      </c>
      <c r="G260" s="4" t="s">
        <v>19</v>
      </c>
      <c r="H260" s="4" t="s">
        <v>96</v>
      </c>
      <c r="I260" s="4">
        <v>524</v>
      </c>
      <c r="J260" s="4">
        <v>4176</v>
      </c>
      <c r="K260" s="4">
        <v>5</v>
      </c>
      <c r="L260" s="4" t="b">
        <f>FALSE()</f>
        <v>0</v>
      </c>
    </row>
    <row r="261" spans="1:12" x14ac:dyDescent="0.2">
      <c r="A261" s="4" t="s">
        <v>1024</v>
      </c>
      <c r="B261" s="4" t="s">
        <v>1025</v>
      </c>
      <c r="C261" s="4" t="s">
        <v>1026</v>
      </c>
      <c r="D261" s="4" t="s">
        <v>137</v>
      </c>
      <c r="E261" s="4" t="s">
        <v>186</v>
      </c>
      <c r="F261" s="4" t="s">
        <v>11</v>
      </c>
      <c r="G261" s="4" t="s">
        <v>18</v>
      </c>
      <c r="H261" s="4" t="s">
        <v>150</v>
      </c>
      <c r="I261" s="4">
        <v>2147</v>
      </c>
      <c r="J261" s="4">
        <v>5486</v>
      </c>
      <c r="K261" s="4">
        <v>3</v>
      </c>
      <c r="L261" s="4" t="b">
        <f>FALSE()</f>
        <v>0</v>
      </c>
    </row>
    <row r="262" spans="1:12" x14ac:dyDescent="0.2">
      <c r="A262" s="4" t="s">
        <v>1027</v>
      </c>
      <c r="B262" s="4" t="s">
        <v>261</v>
      </c>
      <c r="C262" s="4" t="s">
        <v>1028</v>
      </c>
      <c r="D262" s="4" t="s">
        <v>111</v>
      </c>
      <c r="E262" s="4" t="s">
        <v>1029</v>
      </c>
      <c r="F262" s="4" t="s">
        <v>12</v>
      </c>
      <c r="G262" s="4" t="s">
        <v>22</v>
      </c>
      <c r="H262" s="4" t="s">
        <v>107</v>
      </c>
      <c r="I262" s="4">
        <v>1961</v>
      </c>
      <c r="J262" s="4">
        <v>4291</v>
      </c>
      <c r="K262" s="4">
        <v>5</v>
      </c>
      <c r="L262" s="4" t="b">
        <f>FALSE()</f>
        <v>0</v>
      </c>
    </row>
    <row r="263" spans="1:12" x14ac:dyDescent="0.2">
      <c r="A263" s="4" t="s">
        <v>1030</v>
      </c>
      <c r="B263" s="4" t="s">
        <v>1031</v>
      </c>
      <c r="C263" s="4" t="s">
        <v>1032</v>
      </c>
      <c r="D263" s="4" t="s">
        <v>88</v>
      </c>
      <c r="E263" s="4" t="s">
        <v>368</v>
      </c>
      <c r="F263" s="4" t="s">
        <v>12</v>
      </c>
      <c r="G263" s="4" t="s">
        <v>22</v>
      </c>
      <c r="H263" s="4" t="s">
        <v>96</v>
      </c>
      <c r="I263" s="4">
        <v>1693</v>
      </c>
      <c r="J263" s="4">
        <v>3075</v>
      </c>
      <c r="K263" s="4">
        <v>4</v>
      </c>
      <c r="L263" s="4" t="b">
        <f>FALSE()</f>
        <v>0</v>
      </c>
    </row>
    <row r="264" spans="1:12" x14ac:dyDescent="0.2">
      <c r="A264" s="4" t="s">
        <v>1033</v>
      </c>
      <c r="B264" s="4" t="s">
        <v>1034</v>
      </c>
      <c r="C264" s="4" t="s">
        <v>1035</v>
      </c>
      <c r="D264" s="4" t="s">
        <v>133</v>
      </c>
      <c r="E264" s="4" t="s">
        <v>158</v>
      </c>
      <c r="F264" s="4" t="s">
        <v>14</v>
      </c>
      <c r="G264" s="4" t="s">
        <v>23</v>
      </c>
      <c r="H264" s="4" t="s">
        <v>90</v>
      </c>
      <c r="I264" s="4">
        <v>1773</v>
      </c>
      <c r="J264" s="4">
        <v>2730</v>
      </c>
      <c r="K264" s="4">
        <v>4</v>
      </c>
      <c r="L264" s="4" t="b">
        <f>FALSE()</f>
        <v>0</v>
      </c>
    </row>
    <row r="265" spans="1:12" x14ac:dyDescent="0.2">
      <c r="A265" s="4" t="s">
        <v>1036</v>
      </c>
      <c r="B265" s="4" t="s">
        <v>786</v>
      </c>
      <c r="C265" s="4" t="s">
        <v>1037</v>
      </c>
      <c r="D265" s="4" t="s">
        <v>133</v>
      </c>
      <c r="E265" s="4" t="s">
        <v>138</v>
      </c>
      <c r="F265" s="4" t="s">
        <v>13</v>
      </c>
      <c r="G265" s="4" t="s">
        <v>21</v>
      </c>
      <c r="H265" s="4" t="s">
        <v>96</v>
      </c>
      <c r="I265" s="4">
        <v>1608</v>
      </c>
      <c r="J265" s="4">
        <v>2876</v>
      </c>
      <c r="K265" s="4">
        <v>4</v>
      </c>
      <c r="L265" s="4" t="b">
        <f>FALSE()</f>
        <v>0</v>
      </c>
    </row>
    <row r="266" spans="1:12" x14ac:dyDescent="0.2">
      <c r="A266" s="4" t="s">
        <v>1038</v>
      </c>
      <c r="B266" s="4" t="s">
        <v>1039</v>
      </c>
      <c r="C266" s="4" t="s">
        <v>1040</v>
      </c>
      <c r="D266" s="4" t="s">
        <v>111</v>
      </c>
      <c r="E266" s="4" t="s">
        <v>288</v>
      </c>
      <c r="F266" s="4" t="s">
        <v>12</v>
      </c>
      <c r="G266" s="4" t="s">
        <v>23</v>
      </c>
      <c r="H266" s="4" t="s">
        <v>150</v>
      </c>
      <c r="I266" s="4">
        <v>1498</v>
      </c>
      <c r="J266" s="4">
        <v>1002</v>
      </c>
      <c r="K266" s="4">
        <v>5</v>
      </c>
      <c r="L266" s="4" t="b">
        <f>FALSE()</f>
        <v>0</v>
      </c>
    </row>
    <row r="267" spans="1:12" x14ac:dyDescent="0.2">
      <c r="A267" s="4" t="s">
        <v>1041</v>
      </c>
      <c r="B267" s="4" t="s">
        <v>1042</v>
      </c>
      <c r="C267" s="4" t="s">
        <v>1043</v>
      </c>
      <c r="D267" s="4" t="s">
        <v>137</v>
      </c>
      <c r="E267" s="4" t="s">
        <v>1044</v>
      </c>
      <c r="F267" s="4" t="s">
        <v>14</v>
      </c>
      <c r="G267" s="4" t="s">
        <v>18</v>
      </c>
      <c r="H267" s="4" t="s">
        <v>150</v>
      </c>
      <c r="I267" s="4">
        <v>1026</v>
      </c>
      <c r="J267" s="4">
        <v>5957</v>
      </c>
      <c r="K267" s="4">
        <v>4</v>
      </c>
      <c r="L267" s="4" t="b">
        <f>FALSE()</f>
        <v>0</v>
      </c>
    </row>
    <row r="268" spans="1:12" x14ac:dyDescent="0.2">
      <c r="A268" s="4" t="s">
        <v>1045</v>
      </c>
      <c r="B268" s="4" t="s">
        <v>1046</v>
      </c>
      <c r="C268" s="4" t="s">
        <v>1047</v>
      </c>
      <c r="D268" s="4" t="s">
        <v>137</v>
      </c>
      <c r="E268" s="4" t="s">
        <v>1048</v>
      </c>
      <c r="F268" s="4" t="s">
        <v>14</v>
      </c>
      <c r="G268" s="4" t="s">
        <v>18</v>
      </c>
      <c r="H268" s="4" t="s">
        <v>90</v>
      </c>
      <c r="I268" s="4">
        <v>2113</v>
      </c>
      <c r="J268" s="4">
        <v>4566</v>
      </c>
      <c r="K268" s="4">
        <v>4</v>
      </c>
      <c r="L268" s="4" t="b">
        <f>FALSE()</f>
        <v>0</v>
      </c>
    </row>
    <row r="269" spans="1:12" x14ac:dyDescent="0.2">
      <c r="A269" s="4" t="s">
        <v>1049</v>
      </c>
      <c r="B269" s="4" t="s">
        <v>961</v>
      </c>
      <c r="C269" s="4" t="s">
        <v>1050</v>
      </c>
      <c r="D269" s="4" t="s">
        <v>88</v>
      </c>
      <c r="E269" s="4" t="s">
        <v>650</v>
      </c>
      <c r="F269" s="4" t="s">
        <v>11</v>
      </c>
      <c r="G269" s="4" t="s">
        <v>22</v>
      </c>
      <c r="H269" s="4" t="s">
        <v>90</v>
      </c>
      <c r="I269" s="4">
        <v>1125</v>
      </c>
      <c r="J269" s="4">
        <v>6149</v>
      </c>
      <c r="K269" s="4">
        <v>3</v>
      </c>
      <c r="L269" s="4" t="b">
        <f>FALSE()</f>
        <v>0</v>
      </c>
    </row>
    <row r="270" spans="1:12" x14ac:dyDescent="0.2">
      <c r="A270" s="4" t="s">
        <v>1051</v>
      </c>
      <c r="B270" s="4" t="s">
        <v>276</v>
      </c>
      <c r="C270" s="4" t="s">
        <v>1052</v>
      </c>
      <c r="D270" s="4" t="s">
        <v>133</v>
      </c>
      <c r="E270" s="4" t="s">
        <v>1053</v>
      </c>
      <c r="F270" s="4" t="s">
        <v>12</v>
      </c>
      <c r="G270" s="4" t="s">
        <v>19</v>
      </c>
      <c r="H270" s="4" t="s">
        <v>96</v>
      </c>
      <c r="I270" s="4">
        <v>1173</v>
      </c>
      <c r="J270" s="4">
        <v>5150</v>
      </c>
      <c r="K270" s="4">
        <v>4</v>
      </c>
      <c r="L270" s="4" t="b">
        <f>FALSE()</f>
        <v>0</v>
      </c>
    </row>
    <row r="271" spans="1:12" x14ac:dyDescent="0.2">
      <c r="A271" s="4" t="s">
        <v>1054</v>
      </c>
      <c r="B271" s="4" t="s">
        <v>1055</v>
      </c>
      <c r="C271" s="4" t="s">
        <v>1056</v>
      </c>
      <c r="D271" s="4" t="s">
        <v>88</v>
      </c>
      <c r="E271" s="4" t="s">
        <v>210</v>
      </c>
      <c r="F271" s="4" t="s">
        <v>13</v>
      </c>
      <c r="G271" s="4" t="s">
        <v>23</v>
      </c>
      <c r="H271" s="4" t="s">
        <v>102</v>
      </c>
      <c r="I271" s="4">
        <v>1198</v>
      </c>
      <c r="J271" s="4">
        <v>4991</v>
      </c>
      <c r="K271" s="4">
        <v>5</v>
      </c>
      <c r="L271" s="4" t="b">
        <f>FALSE()</f>
        <v>0</v>
      </c>
    </row>
    <row r="272" spans="1:12" x14ac:dyDescent="0.2">
      <c r="A272" s="4" t="s">
        <v>1057</v>
      </c>
      <c r="B272" s="4" t="s">
        <v>1058</v>
      </c>
      <c r="C272" s="4" t="s">
        <v>1059</v>
      </c>
      <c r="D272" s="4" t="s">
        <v>133</v>
      </c>
      <c r="E272" s="4" t="s">
        <v>1060</v>
      </c>
      <c r="F272" s="4" t="s">
        <v>12</v>
      </c>
      <c r="G272" s="4" t="s">
        <v>20</v>
      </c>
      <c r="H272" s="4" t="s">
        <v>90</v>
      </c>
      <c r="I272" s="4">
        <v>988</v>
      </c>
      <c r="J272" s="4">
        <v>3393</v>
      </c>
      <c r="K272" s="4">
        <v>2</v>
      </c>
      <c r="L272" s="4" t="b">
        <f>FALSE()</f>
        <v>0</v>
      </c>
    </row>
    <row r="273" spans="1:12" x14ac:dyDescent="0.2">
      <c r="A273" s="4" t="s">
        <v>1061</v>
      </c>
      <c r="B273" s="4" t="s">
        <v>1062</v>
      </c>
      <c r="C273" s="4" t="s">
        <v>1063</v>
      </c>
      <c r="D273" s="4" t="s">
        <v>133</v>
      </c>
      <c r="E273" s="4" t="s">
        <v>1064</v>
      </c>
      <c r="F273" s="4" t="s">
        <v>11</v>
      </c>
      <c r="G273" s="4" t="s">
        <v>21</v>
      </c>
      <c r="H273" s="4" t="s">
        <v>90</v>
      </c>
      <c r="I273" s="4">
        <v>1659</v>
      </c>
      <c r="J273" s="4">
        <v>2582</v>
      </c>
      <c r="K273" s="4">
        <v>5</v>
      </c>
      <c r="L273" s="4" t="b">
        <f>FALSE()</f>
        <v>0</v>
      </c>
    </row>
    <row r="274" spans="1:12" x14ac:dyDescent="0.2">
      <c r="A274" s="4" t="s">
        <v>1065</v>
      </c>
      <c r="B274" s="4" t="s">
        <v>1066</v>
      </c>
      <c r="C274" s="4" t="s">
        <v>1067</v>
      </c>
      <c r="D274" s="4" t="s">
        <v>100</v>
      </c>
      <c r="E274" s="4" t="s">
        <v>1068</v>
      </c>
      <c r="F274" s="4" t="s">
        <v>10</v>
      </c>
      <c r="G274" s="4" t="s">
        <v>23</v>
      </c>
      <c r="H274" s="4" t="s">
        <v>150</v>
      </c>
      <c r="I274" s="4">
        <v>1097</v>
      </c>
      <c r="J274" s="4">
        <v>1332</v>
      </c>
      <c r="K274" s="4">
        <v>5</v>
      </c>
      <c r="L274" s="4" t="b">
        <f>FALSE()</f>
        <v>0</v>
      </c>
    </row>
    <row r="275" spans="1:12" x14ac:dyDescent="0.2">
      <c r="A275" s="4" t="s">
        <v>1069</v>
      </c>
      <c r="B275" s="4" t="s">
        <v>1070</v>
      </c>
      <c r="C275" s="4" t="s">
        <v>1071</v>
      </c>
      <c r="D275" s="4" t="s">
        <v>133</v>
      </c>
      <c r="E275" s="4" t="s">
        <v>1072</v>
      </c>
      <c r="F275" s="4" t="s">
        <v>13</v>
      </c>
      <c r="G275" s="4" t="s">
        <v>22</v>
      </c>
      <c r="H275" s="4" t="s">
        <v>125</v>
      </c>
      <c r="I275" s="4">
        <v>414</v>
      </c>
      <c r="J275" s="4">
        <v>3339</v>
      </c>
      <c r="K275" s="4">
        <v>5</v>
      </c>
      <c r="L275" s="4" t="b">
        <f>FALSE()</f>
        <v>0</v>
      </c>
    </row>
    <row r="276" spans="1:12" x14ac:dyDescent="0.2">
      <c r="A276" s="4" t="s">
        <v>1073</v>
      </c>
      <c r="B276" s="4" t="s">
        <v>1074</v>
      </c>
      <c r="C276" s="4" t="s">
        <v>1075</v>
      </c>
      <c r="D276" s="4" t="s">
        <v>88</v>
      </c>
      <c r="E276" s="4" t="s">
        <v>650</v>
      </c>
      <c r="F276" s="4" t="s">
        <v>14</v>
      </c>
      <c r="G276" s="4" t="s">
        <v>20</v>
      </c>
      <c r="H276" s="4" t="s">
        <v>150</v>
      </c>
      <c r="I276" s="4">
        <v>1422</v>
      </c>
      <c r="J276" s="4">
        <v>5852</v>
      </c>
      <c r="K276" s="4">
        <v>5</v>
      </c>
      <c r="L276" s="4" t="b">
        <f>FALSE()</f>
        <v>0</v>
      </c>
    </row>
    <row r="277" spans="1:12" x14ac:dyDescent="0.2">
      <c r="A277" s="4" t="s">
        <v>1076</v>
      </c>
      <c r="B277" s="4" t="s">
        <v>1077</v>
      </c>
      <c r="C277" s="4" t="s">
        <v>1078</v>
      </c>
      <c r="D277" s="4" t="s">
        <v>137</v>
      </c>
      <c r="E277" s="4" t="s">
        <v>637</v>
      </c>
      <c r="F277" s="4" t="s">
        <v>13</v>
      </c>
      <c r="G277" s="4" t="s">
        <v>18</v>
      </c>
      <c r="H277" s="4" t="s">
        <v>107</v>
      </c>
      <c r="I277" s="4">
        <v>1784</v>
      </c>
      <c r="J277" s="4">
        <v>5022</v>
      </c>
      <c r="K277" s="4">
        <v>5</v>
      </c>
      <c r="L277" s="4" t="b">
        <f>FALSE()</f>
        <v>0</v>
      </c>
    </row>
    <row r="278" spans="1:12" x14ac:dyDescent="0.2">
      <c r="A278" s="4" t="s">
        <v>1079</v>
      </c>
      <c r="B278" s="4" t="s">
        <v>1080</v>
      </c>
      <c r="C278" s="4" t="s">
        <v>1081</v>
      </c>
      <c r="D278" s="4" t="s">
        <v>111</v>
      </c>
      <c r="E278" s="4" t="s">
        <v>679</v>
      </c>
      <c r="F278" s="4" t="s">
        <v>9</v>
      </c>
      <c r="G278" s="4" t="s">
        <v>20</v>
      </c>
      <c r="H278" s="4" t="s">
        <v>125</v>
      </c>
      <c r="I278" s="4">
        <v>2559</v>
      </c>
      <c r="J278" s="4">
        <v>3085</v>
      </c>
      <c r="K278" s="4">
        <v>3</v>
      </c>
      <c r="L278" s="4" t="b">
        <f>FALSE()</f>
        <v>0</v>
      </c>
    </row>
    <row r="279" spans="1:12" x14ac:dyDescent="0.2">
      <c r="A279" s="4" t="s">
        <v>1082</v>
      </c>
      <c r="B279" s="4" t="s">
        <v>426</v>
      </c>
      <c r="C279" s="4" t="s">
        <v>1083</v>
      </c>
      <c r="D279" s="4" t="s">
        <v>100</v>
      </c>
      <c r="E279" s="4" t="s">
        <v>947</v>
      </c>
      <c r="F279" s="4" t="s">
        <v>11</v>
      </c>
      <c r="G279" s="4" t="s">
        <v>24</v>
      </c>
      <c r="H279" s="4" t="s">
        <v>107</v>
      </c>
      <c r="I279" s="4">
        <v>731</v>
      </c>
      <c r="J279" s="4">
        <v>876</v>
      </c>
      <c r="K279" s="4">
        <v>4</v>
      </c>
      <c r="L279" s="4" t="b">
        <f>FALSE()</f>
        <v>0</v>
      </c>
    </row>
    <row r="280" spans="1:12" x14ac:dyDescent="0.2">
      <c r="A280" s="4" t="s">
        <v>1084</v>
      </c>
      <c r="B280" s="4" t="s">
        <v>1085</v>
      </c>
      <c r="C280" s="4" t="s">
        <v>1086</v>
      </c>
      <c r="D280" s="4" t="s">
        <v>94</v>
      </c>
      <c r="E280" s="4" t="s">
        <v>138</v>
      </c>
      <c r="F280" s="4" t="s">
        <v>10</v>
      </c>
      <c r="G280" s="4" t="s">
        <v>20</v>
      </c>
      <c r="H280" s="4" t="s">
        <v>150</v>
      </c>
      <c r="I280" s="4">
        <v>1206</v>
      </c>
      <c r="J280" s="4">
        <v>5473</v>
      </c>
      <c r="K280" s="4">
        <v>4</v>
      </c>
      <c r="L280" s="4" t="b">
        <f>FALSE()</f>
        <v>0</v>
      </c>
    </row>
    <row r="281" spans="1:12" x14ac:dyDescent="0.2">
      <c r="A281" s="4" t="s">
        <v>1087</v>
      </c>
      <c r="B281" s="4" t="s">
        <v>1088</v>
      </c>
      <c r="C281" s="4" t="s">
        <v>1089</v>
      </c>
      <c r="D281" s="4" t="s">
        <v>137</v>
      </c>
      <c r="E281" s="4" t="s">
        <v>1090</v>
      </c>
      <c r="F281" s="4" t="s">
        <v>11</v>
      </c>
      <c r="G281" s="4" t="s">
        <v>21</v>
      </c>
      <c r="H281" s="4" t="s">
        <v>150</v>
      </c>
      <c r="I281" s="4">
        <v>2815</v>
      </c>
      <c r="J281" s="4">
        <v>2156</v>
      </c>
      <c r="K281" s="4">
        <v>5</v>
      </c>
      <c r="L281" s="4" t="b">
        <f>FALSE()</f>
        <v>0</v>
      </c>
    </row>
    <row r="282" spans="1:12" x14ac:dyDescent="0.2">
      <c r="A282" s="4" t="s">
        <v>1091</v>
      </c>
      <c r="B282" s="4" t="s">
        <v>1092</v>
      </c>
      <c r="C282" s="4" t="s">
        <v>1093</v>
      </c>
      <c r="D282" s="4" t="s">
        <v>88</v>
      </c>
      <c r="E282" s="4" t="s">
        <v>1094</v>
      </c>
      <c r="F282" s="4" t="s">
        <v>11</v>
      </c>
      <c r="G282" s="4" t="s">
        <v>22</v>
      </c>
      <c r="H282" s="4" t="s">
        <v>107</v>
      </c>
      <c r="I282" s="4">
        <v>1423</v>
      </c>
      <c r="J282" s="4">
        <v>3576</v>
      </c>
      <c r="K282" s="4">
        <v>5</v>
      </c>
      <c r="L282" s="4" t="b">
        <f>FALSE()</f>
        <v>0</v>
      </c>
    </row>
    <row r="283" spans="1:12" x14ac:dyDescent="0.2">
      <c r="A283" s="4" t="s">
        <v>1095</v>
      </c>
      <c r="B283" s="4" t="s">
        <v>1096</v>
      </c>
      <c r="C283" s="4" t="s">
        <v>1097</v>
      </c>
      <c r="D283" s="4" t="s">
        <v>88</v>
      </c>
      <c r="E283" s="4" t="s">
        <v>657</v>
      </c>
      <c r="F283" s="4" t="s">
        <v>9</v>
      </c>
      <c r="G283" s="4" t="s">
        <v>23</v>
      </c>
      <c r="H283" s="4" t="s">
        <v>107</v>
      </c>
      <c r="I283" s="4">
        <v>1154</v>
      </c>
      <c r="J283" s="4">
        <v>2947</v>
      </c>
      <c r="K283" s="4">
        <v>4</v>
      </c>
      <c r="L283" s="4" t="b">
        <f>FALSE()</f>
        <v>0</v>
      </c>
    </row>
    <row r="284" spans="1:12" x14ac:dyDescent="0.2">
      <c r="A284" s="4" t="s">
        <v>1098</v>
      </c>
      <c r="B284" s="4" t="s">
        <v>1099</v>
      </c>
      <c r="C284" s="4" t="s">
        <v>1100</v>
      </c>
      <c r="D284" s="4" t="s">
        <v>88</v>
      </c>
      <c r="E284" s="4" t="s">
        <v>1101</v>
      </c>
      <c r="F284" s="4" t="s">
        <v>10</v>
      </c>
      <c r="G284" s="4" t="s">
        <v>24</v>
      </c>
      <c r="H284" s="4" t="s">
        <v>96</v>
      </c>
      <c r="I284" s="4">
        <v>1298</v>
      </c>
      <c r="J284" s="4">
        <v>1563</v>
      </c>
      <c r="K284" s="4">
        <v>3</v>
      </c>
      <c r="L284" s="4" t="b">
        <f>FALSE()</f>
        <v>0</v>
      </c>
    </row>
    <row r="285" spans="1:12" x14ac:dyDescent="0.2">
      <c r="A285" s="4" t="s">
        <v>1102</v>
      </c>
      <c r="B285" s="4" t="s">
        <v>1103</v>
      </c>
      <c r="C285" s="4" t="s">
        <v>1104</v>
      </c>
      <c r="D285" s="4" t="s">
        <v>133</v>
      </c>
      <c r="E285" s="4" t="s">
        <v>1105</v>
      </c>
      <c r="F285" s="4" t="s">
        <v>14</v>
      </c>
      <c r="G285" s="4" t="s">
        <v>19</v>
      </c>
      <c r="H285" s="4" t="s">
        <v>90</v>
      </c>
      <c r="I285" s="4">
        <v>1159</v>
      </c>
      <c r="J285" s="4">
        <v>3499</v>
      </c>
      <c r="K285" s="4">
        <v>3</v>
      </c>
      <c r="L285" s="4" t="b">
        <f>FALSE()</f>
        <v>0</v>
      </c>
    </row>
    <row r="286" spans="1:12" x14ac:dyDescent="0.2">
      <c r="A286" s="4" t="s">
        <v>1106</v>
      </c>
      <c r="B286" s="4" t="s">
        <v>1107</v>
      </c>
      <c r="C286" s="4" t="s">
        <v>1108</v>
      </c>
      <c r="D286" s="4" t="s">
        <v>137</v>
      </c>
      <c r="E286" s="4" t="s">
        <v>399</v>
      </c>
      <c r="F286" s="4" t="s">
        <v>13</v>
      </c>
      <c r="G286" s="4" t="s">
        <v>18</v>
      </c>
      <c r="H286" s="4" t="s">
        <v>150</v>
      </c>
      <c r="I286" s="4">
        <v>887</v>
      </c>
      <c r="J286" s="4">
        <v>5666</v>
      </c>
      <c r="K286" s="4">
        <v>5</v>
      </c>
      <c r="L286" s="4" t="b">
        <f>FALSE()</f>
        <v>0</v>
      </c>
    </row>
    <row r="287" spans="1:12" x14ac:dyDescent="0.2">
      <c r="A287" s="4" t="s">
        <v>1109</v>
      </c>
      <c r="B287" s="4" t="s">
        <v>1070</v>
      </c>
      <c r="C287" s="4" t="s">
        <v>1110</v>
      </c>
      <c r="D287" s="4" t="s">
        <v>100</v>
      </c>
      <c r="E287" s="4" t="s">
        <v>901</v>
      </c>
      <c r="F287" s="4" t="s">
        <v>14</v>
      </c>
      <c r="G287" s="4" t="s">
        <v>20</v>
      </c>
      <c r="H287" s="4" t="s">
        <v>125</v>
      </c>
      <c r="I287" s="4">
        <v>2090</v>
      </c>
      <c r="J287" s="4">
        <v>1166</v>
      </c>
      <c r="K287" s="4">
        <v>4</v>
      </c>
      <c r="L287" s="4" t="b">
        <f>FALSE()</f>
        <v>0</v>
      </c>
    </row>
    <row r="288" spans="1:12" x14ac:dyDescent="0.2">
      <c r="A288" s="4" t="s">
        <v>1111</v>
      </c>
      <c r="B288" s="4" t="s">
        <v>1112</v>
      </c>
      <c r="C288" s="4" t="s">
        <v>1113</v>
      </c>
      <c r="D288" s="4" t="s">
        <v>100</v>
      </c>
      <c r="E288" s="4" t="s">
        <v>182</v>
      </c>
      <c r="F288" s="4" t="s">
        <v>11</v>
      </c>
      <c r="G288" s="4" t="s">
        <v>18</v>
      </c>
      <c r="H288" s="4" t="s">
        <v>125</v>
      </c>
      <c r="I288" s="4">
        <v>1052</v>
      </c>
      <c r="J288" s="4">
        <v>634</v>
      </c>
      <c r="K288" s="4">
        <v>4</v>
      </c>
      <c r="L288" s="4" t="b">
        <f>FALSE()</f>
        <v>0</v>
      </c>
    </row>
    <row r="289" spans="1:12" x14ac:dyDescent="0.2">
      <c r="A289" s="4" t="s">
        <v>1114</v>
      </c>
      <c r="B289" s="4" t="s">
        <v>1115</v>
      </c>
      <c r="C289" s="4" t="s">
        <v>1116</v>
      </c>
      <c r="D289" s="4" t="s">
        <v>133</v>
      </c>
      <c r="E289" s="4" t="s">
        <v>1117</v>
      </c>
      <c r="F289" s="4" t="s">
        <v>13</v>
      </c>
      <c r="G289" s="4" t="s">
        <v>21</v>
      </c>
      <c r="H289" s="4" t="s">
        <v>102</v>
      </c>
      <c r="I289" s="4">
        <v>615</v>
      </c>
      <c r="J289" s="4">
        <v>4502</v>
      </c>
      <c r="K289" s="4">
        <v>1</v>
      </c>
      <c r="L289" s="4" t="b">
        <f>FALSE()</f>
        <v>0</v>
      </c>
    </row>
    <row r="290" spans="1:12" x14ac:dyDescent="0.2">
      <c r="A290" s="4" t="s">
        <v>1118</v>
      </c>
      <c r="B290" s="4" t="s">
        <v>1119</v>
      </c>
      <c r="C290" s="4" t="s">
        <v>1120</v>
      </c>
      <c r="D290" s="4" t="s">
        <v>111</v>
      </c>
      <c r="E290" s="4" t="s">
        <v>874</v>
      </c>
      <c r="F290" s="4" t="s">
        <v>13</v>
      </c>
      <c r="G290" s="4" t="s">
        <v>20</v>
      </c>
      <c r="H290" s="4" t="s">
        <v>150</v>
      </c>
      <c r="I290" s="4">
        <v>2041</v>
      </c>
      <c r="J290" s="4">
        <v>4672</v>
      </c>
      <c r="K290" s="4">
        <v>3</v>
      </c>
      <c r="L290" s="4" t="b">
        <f>FALSE()</f>
        <v>0</v>
      </c>
    </row>
    <row r="291" spans="1:12" x14ac:dyDescent="0.2">
      <c r="A291" s="4" t="s">
        <v>1121</v>
      </c>
      <c r="B291" s="4" t="s">
        <v>1122</v>
      </c>
      <c r="C291" s="4" t="s">
        <v>1123</v>
      </c>
      <c r="D291" s="4" t="s">
        <v>94</v>
      </c>
      <c r="E291" s="4" t="s">
        <v>1124</v>
      </c>
      <c r="F291" s="4" t="s">
        <v>12</v>
      </c>
      <c r="G291" s="4" t="s">
        <v>20</v>
      </c>
      <c r="H291" s="4" t="s">
        <v>96</v>
      </c>
      <c r="I291" s="4">
        <v>686</v>
      </c>
      <c r="J291" s="4">
        <v>4644</v>
      </c>
      <c r="K291" s="4">
        <v>5</v>
      </c>
      <c r="L291" s="4" t="b">
        <f>FALSE()</f>
        <v>0</v>
      </c>
    </row>
    <row r="292" spans="1:12" x14ac:dyDescent="0.2">
      <c r="A292" s="4" t="s">
        <v>1125</v>
      </c>
      <c r="B292" s="4" t="s">
        <v>1126</v>
      </c>
      <c r="C292" s="4" t="s">
        <v>1127</v>
      </c>
      <c r="D292" s="4" t="s">
        <v>94</v>
      </c>
      <c r="E292" s="4" t="s">
        <v>1128</v>
      </c>
      <c r="F292" s="4" t="s">
        <v>9</v>
      </c>
      <c r="G292" s="4" t="s">
        <v>21</v>
      </c>
      <c r="H292" s="4" t="s">
        <v>125</v>
      </c>
      <c r="I292" s="4">
        <v>923</v>
      </c>
      <c r="J292" s="4">
        <v>2227</v>
      </c>
      <c r="K292" s="4">
        <v>5</v>
      </c>
      <c r="L292" s="4" t="b">
        <f>FALSE()</f>
        <v>0</v>
      </c>
    </row>
    <row r="293" spans="1:12" x14ac:dyDescent="0.2">
      <c r="A293" s="4" t="s">
        <v>1129</v>
      </c>
      <c r="B293" s="4" t="s">
        <v>1130</v>
      </c>
      <c r="C293" s="4" t="s">
        <v>1131</v>
      </c>
      <c r="D293" s="4" t="s">
        <v>137</v>
      </c>
      <c r="E293" s="4" t="s">
        <v>947</v>
      </c>
      <c r="F293" s="4" t="s">
        <v>14</v>
      </c>
      <c r="G293" s="4" t="s">
        <v>20</v>
      </c>
      <c r="H293" s="4" t="s">
        <v>96</v>
      </c>
      <c r="I293" s="4">
        <v>1187</v>
      </c>
      <c r="J293" s="4">
        <v>4017</v>
      </c>
      <c r="K293" s="4">
        <v>3</v>
      </c>
      <c r="L293" s="4" t="b">
        <f>FALSE()</f>
        <v>0</v>
      </c>
    </row>
    <row r="294" spans="1:12" x14ac:dyDescent="0.2">
      <c r="A294" s="4" t="s">
        <v>1132</v>
      </c>
      <c r="B294" s="4" t="s">
        <v>1133</v>
      </c>
      <c r="C294" s="4" t="s">
        <v>1134</v>
      </c>
      <c r="D294" s="4" t="s">
        <v>137</v>
      </c>
      <c r="E294" s="4" t="s">
        <v>1135</v>
      </c>
      <c r="F294" s="4" t="s">
        <v>10</v>
      </c>
      <c r="G294" s="4" t="s">
        <v>20</v>
      </c>
      <c r="H294" s="4" t="s">
        <v>150</v>
      </c>
      <c r="I294" s="4">
        <v>2598</v>
      </c>
      <c r="J294" s="4">
        <v>4553</v>
      </c>
      <c r="K294" s="4">
        <v>5</v>
      </c>
      <c r="L294" s="4" t="b">
        <f>FALSE()</f>
        <v>0</v>
      </c>
    </row>
    <row r="295" spans="1:12" x14ac:dyDescent="0.2">
      <c r="A295" s="4" t="s">
        <v>1136</v>
      </c>
      <c r="B295" s="4" t="s">
        <v>1137</v>
      </c>
      <c r="C295" s="4" t="s">
        <v>1138</v>
      </c>
      <c r="D295" s="4" t="s">
        <v>100</v>
      </c>
      <c r="E295" s="4" t="s">
        <v>1010</v>
      </c>
      <c r="F295" s="4" t="s">
        <v>13</v>
      </c>
      <c r="G295" s="4" t="s">
        <v>24</v>
      </c>
      <c r="H295" s="4" t="s">
        <v>90</v>
      </c>
      <c r="I295" s="4">
        <v>1131</v>
      </c>
      <c r="J295" s="4">
        <v>806</v>
      </c>
      <c r="K295" s="4">
        <v>3</v>
      </c>
      <c r="L295" s="4" t="b">
        <f>FALSE()</f>
        <v>0</v>
      </c>
    </row>
    <row r="296" spans="1:12" x14ac:dyDescent="0.2">
      <c r="A296" s="4" t="s">
        <v>1139</v>
      </c>
      <c r="B296" s="4" t="s">
        <v>1140</v>
      </c>
      <c r="C296" s="4" t="s">
        <v>1141</v>
      </c>
      <c r="D296" s="4" t="s">
        <v>88</v>
      </c>
      <c r="E296" s="4" t="s">
        <v>966</v>
      </c>
      <c r="F296" s="4" t="s">
        <v>11</v>
      </c>
      <c r="G296" s="4" t="s">
        <v>19</v>
      </c>
      <c r="H296" s="4" t="s">
        <v>150</v>
      </c>
      <c r="I296" s="4">
        <v>1662</v>
      </c>
      <c r="J296" s="4">
        <v>1269</v>
      </c>
      <c r="K296" s="4">
        <v>4</v>
      </c>
      <c r="L296" s="4" t="b">
        <f>FALSE()</f>
        <v>0</v>
      </c>
    </row>
    <row r="297" spans="1:12" x14ac:dyDescent="0.2">
      <c r="A297" s="4" t="s">
        <v>1142</v>
      </c>
      <c r="B297" s="4" t="s">
        <v>366</v>
      </c>
      <c r="C297" s="4" t="s">
        <v>1143</v>
      </c>
      <c r="D297" s="4" t="s">
        <v>100</v>
      </c>
      <c r="E297" s="4" t="s">
        <v>1144</v>
      </c>
      <c r="F297" s="4" t="s">
        <v>12</v>
      </c>
      <c r="G297" s="4" t="s">
        <v>24</v>
      </c>
      <c r="H297" s="4" t="s">
        <v>107</v>
      </c>
      <c r="I297" s="4">
        <v>757</v>
      </c>
      <c r="J297" s="4">
        <v>3074</v>
      </c>
      <c r="K297" s="4">
        <v>4</v>
      </c>
      <c r="L297" s="4" t="b">
        <f>FALSE()</f>
        <v>0</v>
      </c>
    </row>
    <row r="298" spans="1:12" x14ac:dyDescent="0.2">
      <c r="A298" s="4" t="s">
        <v>1145</v>
      </c>
      <c r="B298" s="4" t="s">
        <v>1146</v>
      </c>
      <c r="C298" s="4" t="s">
        <v>1147</v>
      </c>
      <c r="D298" s="4" t="s">
        <v>94</v>
      </c>
      <c r="E298" s="4" t="s">
        <v>1148</v>
      </c>
      <c r="F298" s="4" t="s">
        <v>11</v>
      </c>
      <c r="G298" s="4" t="s">
        <v>20</v>
      </c>
      <c r="H298" s="4" t="s">
        <v>96</v>
      </c>
      <c r="I298" s="4">
        <v>1057</v>
      </c>
      <c r="J298" s="4">
        <v>3742</v>
      </c>
      <c r="K298" s="4">
        <v>5</v>
      </c>
      <c r="L298" s="4" t="b">
        <f>FALSE()</f>
        <v>0</v>
      </c>
    </row>
    <row r="299" spans="1:12" x14ac:dyDescent="0.2">
      <c r="A299" s="4" t="s">
        <v>1149</v>
      </c>
      <c r="B299" s="4" t="s">
        <v>1150</v>
      </c>
      <c r="C299" s="4" t="s">
        <v>1151</v>
      </c>
      <c r="D299" s="4" t="s">
        <v>94</v>
      </c>
      <c r="E299" s="4" t="s">
        <v>679</v>
      </c>
      <c r="F299" s="4" t="s">
        <v>9</v>
      </c>
      <c r="G299" s="4" t="s">
        <v>24</v>
      </c>
      <c r="H299" s="4" t="s">
        <v>107</v>
      </c>
      <c r="I299" s="4">
        <v>2020</v>
      </c>
      <c r="J299" s="4">
        <v>2093</v>
      </c>
      <c r="K299" s="4">
        <v>5</v>
      </c>
      <c r="L299" s="4" t="b">
        <f>FALSE()</f>
        <v>0</v>
      </c>
    </row>
    <row r="300" spans="1:12" x14ac:dyDescent="0.2">
      <c r="A300" s="4" t="s">
        <v>1152</v>
      </c>
      <c r="B300" s="4" t="s">
        <v>1153</v>
      </c>
      <c r="C300" s="4" t="s">
        <v>1154</v>
      </c>
      <c r="D300" s="4" t="s">
        <v>111</v>
      </c>
      <c r="E300" s="4" t="s">
        <v>1155</v>
      </c>
      <c r="F300" s="4" t="s">
        <v>9</v>
      </c>
      <c r="G300" s="4" t="s">
        <v>24</v>
      </c>
      <c r="H300" s="4" t="s">
        <v>150</v>
      </c>
      <c r="I300" s="4">
        <v>1748</v>
      </c>
      <c r="J300" s="4">
        <v>6207</v>
      </c>
      <c r="K300" s="4">
        <v>5</v>
      </c>
      <c r="L300" s="4" t="b">
        <f>FALSE()</f>
        <v>0</v>
      </c>
    </row>
    <row r="301" spans="1:12" x14ac:dyDescent="0.2">
      <c r="A301" s="4" t="s">
        <v>1156</v>
      </c>
      <c r="B301" s="4" t="s">
        <v>1157</v>
      </c>
      <c r="C301" s="4" t="s">
        <v>1158</v>
      </c>
      <c r="D301" s="4" t="s">
        <v>94</v>
      </c>
      <c r="E301" s="4" t="s">
        <v>1159</v>
      </c>
      <c r="F301" s="4" t="s">
        <v>11</v>
      </c>
      <c r="G301" s="4" t="s">
        <v>21</v>
      </c>
      <c r="H301" s="4" t="s">
        <v>107</v>
      </c>
      <c r="I301" s="4">
        <v>1250</v>
      </c>
      <c r="J301" s="4">
        <v>1760</v>
      </c>
      <c r="K301" s="4">
        <v>5</v>
      </c>
      <c r="L301" s="4" t="b">
        <f>FALSE()</f>
        <v>0</v>
      </c>
    </row>
    <row r="302" spans="1:12" x14ac:dyDescent="0.2">
      <c r="A302" s="4" t="s">
        <v>1160</v>
      </c>
      <c r="B302" s="4" t="s">
        <v>1161</v>
      </c>
      <c r="C302" s="4" t="s">
        <v>1162</v>
      </c>
      <c r="D302" s="4" t="s">
        <v>133</v>
      </c>
      <c r="E302" s="4" t="s">
        <v>566</v>
      </c>
      <c r="F302" s="4" t="s">
        <v>11</v>
      </c>
      <c r="G302" s="4" t="s">
        <v>24</v>
      </c>
      <c r="H302" s="4" t="s">
        <v>150</v>
      </c>
      <c r="I302" s="4">
        <v>1160</v>
      </c>
      <c r="J302" s="4">
        <v>5428</v>
      </c>
      <c r="K302" s="4">
        <v>4</v>
      </c>
      <c r="L302" s="4" t="b">
        <f>FALSE()</f>
        <v>0</v>
      </c>
    </row>
    <row r="303" spans="1:12" x14ac:dyDescent="0.2">
      <c r="A303" s="4" t="s">
        <v>1163</v>
      </c>
      <c r="B303" s="4" t="s">
        <v>1164</v>
      </c>
      <c r="C303" s="4" t="s">
        <v>1165</v>
      </c>
      <c r="D303" s="4" t="s">
        <v>137</v>
      </c>
      <c r="E303" s="4" t="s">
        <v>112</v>
      </c>
      <c r="F303" s="4" t="s">
        <v>9</v>
      </c>
      <c r="G303" s="4" t="s">
        <v>21</v>
      </c>
      <c r="H303" s="4" t="s">
        <v>150</v>
      </c>
      <c r="I303" s="4">
        <v>801</v>
      </c>
      <c r="J303" s="4">
        <v>5172</v>
      </c>
      <c r="K303" s="4">
        <v>4</v>
      </c>
      <c r="L303" s="4" t="b">
        <f>FALSE()</f>
        <v>0</v>
      </c>
    </row>
    <row r="304" spans="1:12" x14ac:dyDescent="0.2">
      <c r="A304" s="4" t="s">
        <v>1166</v>
      </c>
      <c r="B304" s="4" t="s">
        <v>1167</v>
      </c>
      <c r="C304" s="4" t="s">
        <v>1168</v>
      </c>
      <c r="D304" s="4" t="s">
        <v>94</v>
      </c>
      <c r="E304" s="4" t="s">
        <v>1169</v>
      </c>
      <c r="F304" s="4" t="s">
        <v>12</v>
      </c>
      <c r="G304" s="4" t="s">
        <v>21</v>
      </c>
      <c r="H304" s="4" t="s">
        <v>102</v>
      </c>
      <c r="I304" s="4">
        <v>1215</v>
      </c>
      <c r="J304" s="4">
        <v>4321</v>
      </c>
      <c r="K304" s="4">
        <v>3</v>
      </c>
      <c r="L304" s="4" t="b">
        <f>FALSE()</f>
        <v>0</v>
      </c>
    </row>
    <row r="305" spans="1:12" x14ac:dyDescent="0.2">
      <c r="A305" s="4" t="s">
        <v>1170</v>
      </c>
      <c r="B305" s="4" t="s">
        <v>1171</v>
      </c>
      <c r="C305" s="4" t="s">
        <v>1172</v>
      </c>
      <c r="D305" s="4" t="s">
        <v>137</v>
      </c>
      <c r="E305" s="4" t="s">
        <v>236</v>
      </c>
      <c r="F305" s="4" t="s">
        <v>9</v>
      </c>
      <c r="G305" s="4" t="s">
        <v>21</v>
      </c>
      <c r="H305" s="4" t="s">
        <v>107</v>
      </c>
      <c r="I305" s="4">
        <v>1239</v>
      </c>
      <c r="J305" s="4">
        <v>6404</v>
      </c>
      <c r="K305" s="4">
        <v>4</v>
      </c>
      <c r="L305" s="4" t="b">
        <f>FALSE()</f>
        <v>0</v>
      </c>
    </row>
    <row r="306" spans="1:12" x14ac:dyDescent="0.2">
      <c r="A306" s="4" t="s">
        <v>1173</v>
      </c>
      <c r="B306" s="4" t="s">
        <v>1174</v>
      </c>
      <c r="C306" s="4" t="s">
        <v>1175</v>
      </c>
      <c r="D306" s="4" t="s">
        <v>100</v>
      </c>
      <c r="E306" s="4" t="s">
        <v>214</v>
      </c>
      <c r="F306" s="4" t="s">
        <v>9</v>
      </c>
      <c r="G306" s="4" t="s">
        <v>19</v>
      </c>
      <c r="H306" s="4" t="s">
        <v>107</v>
      </c>
      <c r="I306" s="4">
        <v>1257</v>
      </c>
      <c r="J306" s="4">
        <v>2079</v>
      </c>
      <c r="K306" s="4">
        <v>5</v>
      </c>
      <c r="L306" s="4" t="b">
        <f>FALSE()</f>
        <v>0</v>
      </c>
    </row>
    <row r="307" spans="1:12" x14ac:dyDescent="0.2">
      <c r="A307" s="4" t="s">
        <v>1176</v>
      </c>
      <c r="B307" s="4" t="s">
        <v>1177</v>
      </c>
      <c r="C307" s="4" t="s">
        <v>1178</v>
      </c>
      <c r="D307" s="4" t="s">
        <v>88</v>
      </c>
      <c r="E307" s="4" t="s">
        <v>259</v>
      </c>
      <c r="F307" s="4" t="s">
        <v>12</v>
      </c>
      <c r="G307" s="4" t="s">
        <v>19</v>
      </c>
      <c r="H307" s="4" t="s">
        <v>102</v>
      </c>
      <c r="I307" s="4">
        <v>1236</v>
      </c>
      <c r="J307" s="4">
        <v>3826</v>
      </c>
      <c r="K307" s="4">
        <v>5</v>
      </c>
      <c r="L307" s="4" t="b">
        <f>FALSE()</f>
        <v>0</v>
      </c>
    </row>
    <row r="308" spans="1:12" x14ac:dyDescent="0.2">
      <c r="A308" s="4" t="s">
        <v>1179</v>
      </c>
      <c r="B308" s="4" t="s">
        <v>1180</v>
      </c>
      <c r="C308" s="4" t="s">
        <v>1181</v>
      </c>
      <c r="D308" s="4" t="s">
        <v>94</v>
      </c>
      <c r="E308" s="4" t="s">
        <v>715</v>
      </c>
      <c r="F308" s="4" t="s">
        <v>9</v>
      </c>
      <c r="G308" s="4" t="s">
        <v>22</v>
      </c>
      <c r="H308" s="4" t="s">
        <v>150</v>
      </c>
      <c r="I308" s="4">
        <v>1369</v>
      </c>
      <c r="J308" s="4">
        <v>5516</v>
      </c>
      <c r="K308" s="4">
        <v>3</v>
      </c>
      <c r="L308" s="4" t="b">
        <f>FALSE()</f>
        <v>0</v>
      </c>
    </row>
    <row r="309" spans="1:12" x14ac:dyDescent="0.2">
      <c r="A309" s="4" t="s">
        <v>1182</v>
      </c>
      <c r="B309" s="4" t="s">
        <v>385</v>
      </c>
      <c r="C309" s="4" t="s">
        <v>1183</v>
      </c>
      <c r="D309" s="4" t="s">
        <v>94</v>
      </c>
      <c r="E309" s="4" t="s">
        <v>966</v>
      </c>
      <c r="F309" s="4" t="s">
        <v>13</v>
      </c>
      <c r="G309" s="4" t="s">
        <v>19</v>
      </c>
      <c r="H309" s="4" t="s">
        <v>90</v>
      </c>
      <c r="I309" s="4">
        <v>945</v>
      </c>
      <c r="J309" s="4">
        <v>813</v>
      </c>
      <c r="K309" s="4">
        <v>4</v>
      </c>
      <c r="L309" s="4" t="b">
        <f>FALSE()</f>
        <v>0</v>
      </c>
    </row>
    <row r="310" spans="1:12" x14ac:dyDescent="0.2">
      <c r="A310" s="4" t="s">
        <v>1184</v>
      </c>
      <c r="B310" s="4" t="s">
        <v>1185</v>
      </c>
      <c r="C310" s="4" t="s">
        <v>1186</v>
      </c>
      <c r="D310" s="4" t="s">
        <v>137</v>
      </c>
      <c r="E310" s="4" t="s">
        <v>1187</v>
      </c>
      <c r="F310" s="4" t="s">
        <v>13</v>
      </c>
      <c r="G310" s="4" t="s">
        <v>19</v>
      </c>
      <c r="H310" s="4" t="s">
        <v>90</v>
      </c>
      <c r="I310" s="4">
        <v>1537</v>
      </c>
      <c r="J310" s="4">
        <v>832</v>
      </c>
      <c r="K310" s="4">
        <v>3</v>
      </c>
      <c r="L310" s="4" t="b">
        <f>FALSE()</f>
        <v>0</v>
      </c>
    </row>
    <row r="311" spans="1:12" x14ac:dyDescent="0.2">
      <c r="A311" s="4" t="s">
        <v>1188</v>
      </c>
      <c r="B311" s="4" t="s">
        <v>1189</v>
      </c>
      <c r="C311" s="4" t="s">
        <v>1190</v>
      </c>
      <c r="D311" s="4" t="s">
        <v>133</v>
      </c>
      <c r="E311" s="4" t="s">
        <v>1191</v>
      </c>
      <c r="F311" s="4" t="s">
        <v>13</v>
      </c>
      <c r="G311" s="4" t="s">
        <v>20</v>
      </c>
      <c r="H311" s="4" t="s">
        <v>107</v>
      </c>
      <c r="I311" s="4">
        <v>1524</v>
      </c>
      <c r="J311" s="4">
        <v>3197</v>
      </c>
      <c r="K311" s="4">
        <v>5</v>
      </c>
      <c r="L311" s="4" t="b">
        <f>FALSE()</f>
        <v>0</v>
      </c>
    </row>
    <row r="312" spans="1:12" x14ac:dyDescent="0.2">
      <c r="A312" s="4" t="s">
        <v>1192</v>
      </c>
      <c r="B312" s="4" t="s">
        <v>1193</v>
      </c>
      <c r="C312" s="4" t="s">
        <v>1194</v>
      </c>
      <c r="D312" s="4" t="s">
        <v>133</v>
      </c>
      <c r="E312" s="4" t="s">
        <v>1195</v>
      </c>
      <c r="F312" s="4" t="s">
        <v>13</v>
      </c>
      <c r="G312" s="4" t="s">
        <v>18</v>
      </c>
      <c r="H312" s="4" t="s">
        <v>150</v>
      </c>
      <c r="I312" s="4">
        <v>1436</v>
      </c>
      <c r="J312" s="4">
        <v>4722</v>
      </c>
      <c r="K312" s="4">
        <v>5</v>
      </c>
      <c r="L312" s="4" t="b">
        <f>FALSE()</f>
        <v>0</v>
      </c>
    </row>
    <row r="313" spans="1:12" x14ac:dyDescent="0.2">
      <c r="A313" s="4" t="s">
        <v>1196</v>
      </c>
      <c r="B313" s="4" t="s">
        <v>1197</v>
      </c>
      <c r="C313" s="4" t="s">
        <v>1198</v>
      </c>
      <c r="D313" s="4" t="s">
        <v>100</v>
      </c>
      <c r="E313" s="4" t="s">
        <v>766</v>
      </c>
      <c r="F313" s="4" t="s">
        <v>14</v>
      </c>
      <c r="G313" s="4" t="s">
        <v>22</v>
      </c>
      <c r="H313" s="4" t="s">
        <v>96</v>
      </c>
      <c r="I313" s="4">
        <v>1400</v>
      </c>
      <c r="J313" s="4">
        <v>4574</v>
      </c>
      <c r="K313" s="4">
        <v>4</v>
      </c>
      <c r="L313" s="4" t="b">
        <f>FALSE()</f>
        <v>0</v>
      </c>
    </row>
    <row r="314" spans="1:12" x14ac:dyDescent="0.2">
      <c r="A314" s="4" t="s">
        <v>1199</v>
      </c>
      <c r="B314" s="4" t="s">
        <v>1200</v>
      </c>
      <c r="C314" s="4" t="s">
        <v>1201</v>
      </c>
      <c r="D314" s="4" t="s">
        <v>137</v>
      </c>
      <c r="E314" s="4" t="s">
        <v>182</v>
      </c>
      <c r="F314" s="4" t="s">
        <v>12</v>
      </c>
      <c r="G314" s="4" t="s">
        <v>20</v>
      </c>
      <c r="H314" s="4" t="s">
        <v>90</v>
      </c>
      <c r="I314" s="4">
        <v>1124</v>
      </c>
      <c r="J314" s="4">
        <v>4357</v>
      </c>
      <c r="K314" s="4">
        <v>4</v>
      </c>
      <c r="L314" s="4" t="b">
        <f>FALSE()</f>
        <v>0</v>
      </c>
    </row>
    <row r="315" spans="1:12" x14ac:dyDescent="0.2">
      <c r="A315" s="4" t="s">
        <v>1202</v>
      </c>
      <c r="B315" s="4" t="s">
        <v>1203</v>
      </c>
      <c r="C315" s="4" t="s">
        <v>1204</v>
      </c>
      <c r="D315" s="4" t="s">
        <v>133</v>
      </c>
      <c r="E315" s="4" t="s">
        <v>331</v>
      </c>
      <c r="F315" s="4" t="s">
        <v>12</v>
      </c>
      <c r="G315" s="4" t="s">
        <v>19</v>
      </c>
      <c r="H315" s="4" t="s">
        <v>102</v>
      </c>
      <c r="I315" s="4">
        <v>1571</v>
      </c>
      <c r="J315" s="4">
        <v>5590</v>
      </c>
      <c r="K315" s="4">
        <v>4</v>
      </c>
      <c r="L315" s="4" t="b">
        <f>FALSE()</f>
        <v>0</v>
      </c>
    </row>
    <row r="316" spans="1:12" x14ac:dyDescent="0.2">
      <c r="A316" s="4" t="s">
        <v>1205</v>
      </c>
      <c r="B316" s="4" t="s">
        <v>540</v>
      </c>
      <c r="C316" s="4" t="s">
        <v>1206</v>
      </c>
      <c r="D316" s="4" t="s">
        <v>100</v>
      </c>
      <c r="E316" s="4" t="s">
        <v>432</v>
      </c>
      <c r="F316" s="4" t="s">
        <v>9</v>
      </c>
      <c r="G316" s="4" t="s">
        <v>22</v>
      </c>
      <c r="H316" s="4" t="s">
        <v>102</v>
      </c>
      <c r="I316" s="4">
        <v>879</v>
      </c>
      <c r="J316" s="4">
        <v>3518</v>
      </c>
      <c r="K316" s="4">
        <v>5</v>
      </c>
      <c r="L316" s="4" t="b">
        <f>FALSE()</f>
        <v>0</v>
      </c>
    </row>
    <row r="317" spans="1:12" x14ac:dyDescent="0.2">
      <c r="A317" s="4" t="s">
        <v>1207</v>
      </c>
      <c r="B317" s="4" t="s">
        <v>1001</v>
      </c>
      <c r="C317" s="4" t="s">
        <v>1208</v>
      </c>
      <c r="D317" s="4" t="s">
        <v>133</v>
      </c>
      <c r="E317" s="4" t="s">
        <v>1209</v>
      </c>
      <c r="F317" s="4" t="s">
        <v>9</v>
      </c>
      <c r="G317" s="4" t="s">
        <v>19</v>
      </c>
      <c r="H317" s="4" t="s">
        <v>90</v>
      </c>
      <c r="I317" s="4">
        <v>1770</v>
      </c>
      <c r="J317" s="4">
        <v>758</v>
      </c>
      <c r="K317" s="4">
        <v>5</v>
      </c>
      <c r="L317" s="4" t="b">
        <f>FALSE()</f>
        <v>0</v>
      </c>
    </row>
    <row r="318" spans="1:12" x14ac:dyDescent="0.2">
      <c r="A318" s="4" t="s">
        <v>1210</v>
      </c>
      <c r="B318" s="4" t="s">
        <v>1211</v>
      </c>
      <c r="C318" s="4" t="s">
        <v>1212</v>
      </c>
      <c r="D318" s="4" t="s">
        <v>133</v>
      </c>
      <c r="E318" s="4" t="s">
        <v>1213</v>
      </c>
      <c r="F318" s="4" t="s">
        <v>9</v>
      </c>
      <c r="G318" s="4" t="s">
        <v>22</v>
      </c>
      <c r="H318" s="4" t="s">
        <v>96</v>
      </c>
      <c r="I318" s="4">
        <v>1747</v>
      </c>
      <c r="J318" s="4">
        <v>5027</v>
      </c>
      <c r="K318" s="4">
        <v>4</v>
      </c>
      <c r="L318" s="4" t="b">
        <f>FALSE()</f>
        <v>0</v>
      </c>
    </row>
    <row r="319" spans="1:12" x14ac:dyDescent="0.2">
      <c r="A319" s="4" t="s">
        <v>1214</v>
      </c>
      <c r="B319" s="4" t="s">
        <v>1215</v>
      </c>
      <c r="C319" s="4" t="s">
        <v>1216</v>
      </c>
      <c r="D319" s="4" t="s">
        <v>88</v>
      </c>
      <c r="E319" s="4" t="s">
        <v>1217</v>
      </c>
      <c r="F319" s="4" t="s">
        <v>9</v>
      </c>
      <c r="G319" s="4" t="s">
        <v>22</v>
      </c>
      <c r="H319" s="4" t="s">
        <v>102</v>
      </c>
      <c r="I319" s="4">
        <v>2512</v>
      </c>
      <c r="J319" s="4">
        <v>2459</v>
      </c>
      <c r="K319" s="4">
        <v>4</v>
      </c>
      <c r="L319" s="4" t="b">
        <f>FALSE()</f>
        <v>0</v>
      </c>
    </row>
    <row r="320" spans="1:12" x14ac:dyDescent="0.2">
      <c r="A320" s="4" t="s">
        <v>1218</v>
      </c>
      <c r="B320" s="4" t="s">
        <v>1219</v>
      </c>
      <c r="C320" s="4" t="s">
        <v>1220</v>
      </c>
      <c r="D320" s="4" t="s">
        <v>88</v>
      </c>
      <c r="E320" s="4" t="s">
        <v>1221</v>
      </c>
      <c r="F320" s="4" t="s">
        <v>14</v>
      </c>
      <c r="G320" s="4" t="s">
        <v>21</v>
      </c>
      <c r="H320" s="4" t="s">
        <v>150</v>
      </c>
      <c r="I320" s="4">
        <v>1033</v>
      </c>
      <c r="J320" s="4">
        <v>1297</v>
      </c>
      <c r="K320" s="4">
        <v>5</v>
      </c>
      <c r="L320" s="4" t="b">
        <f>FALSE()</f>
        <v>0</v>
      </c>
    </row>
    <row r="321" spans="1:12" x14ac:dyDescent="0.2">
      <c r="A321" s="4" t="s">
        <v>1222</v>
      </c>
      <c r="B321" s="4" t="s">
        <v>1223</v>
      </c>
      <c r="C321" s="4" t="s">
        <v>1224</v>
      </c>
      <c r="D321" s="4" t="s">
        <v>111</v>
      </c>
      <c r="E321" s="4" t="s">
        <v>1225</v>
      </c>
      <c r="F321" s="4" t="s">
        <v>9</v>
      </c>
      <c r="G321" s="4" t="s">
        <v>18</v>
      </c>
      <c r="H321" s="4" t="s">
        <v>102</v>
      </c>
      <c r="I321" s="4">
        <v>1280</v>
      </c>
      <c r="J321" s="4">
        <v>4925</v>
      </c>
      <c r="K321" s="4">
        <v>1</v>
      </c>
      <c r="L321" s="4" t="b">
        <f>FALSE()</f>
        <v>0</v>
      </c>
    </row>
    <row r="322" spans="1:12" x14ac:dyDescent="0.2">
      <c r="A322" s="4" t="s">
        <v>1226</v>
      </c>
      <c r="B322" s="4" t="s">
        <v>1227</v>
      </c>
      <c r="C322" s="4" t="s">
        <v>1228</v>
      </c>
      <c r="D322" s="4" t="s">
        <v>111</v>
      </c>
      <c r="E322" s="4" t="s">
        <v>486</v>
      </c>
      <c r="F322" s="4" t="s">
        <v>14</v>
      </c>
      <c r="G322" s="4" t="s">
        <v>21</v>
      </c>
      <c r="H322" s="4" t="s">
        <v>150</v>
      </c>
      <c r="I322" s="4">
        <v>1184</v>
      </c>
      <c r="J322" s="4">
        <v>1280</v>
      </c>
      <c r="K322" s="4">
        <v>4</v>
      </c>
      <c r="L322" s="4" t="b">
        <f>FALSE()</f>
        <v>0</v>
      </c>
    </row>
    <row r="323" spans="1:12" x14ac:dyDescent="0.2">
      <c r="A323" s="4" t="s">
        <v>1229</v>
      </c>
      <c r="B323" s="4" t="s">
        <v>1230</v>
      </c>
      <c r="C323" s="4" t="s">
        <v>1231</v>
      </c>
      <c r="D323" s="4" t="s">
        <v>100</v>
      </c>
      <c r="E323" s="4" t="s">
        <v>1232</v>
      </c>
      <c r="F323" s="4" t="s">
        <v>13</v>
      </c>
      <c r="G323" s="4" t="s">
        <v>23</v>
      </c>
      <c r="H323" s="4" t="s">
        <v>90</v>
      </c>
      <c r="I323" s="4">
        <v>694</v>
      </c>
      <c r="J323" s="4">
        <v>3172</v>
      </c>
      <c r="K323" s="4">
        <v>5</v>
      </c>
      <c r="L323" s="4" t="b">
        <f>FALSE()</f>
        <v>0</v>
      </c>
    </row>
    <row r="324" spans="1:12" x14ac:dyDescent="0.2">
      <c r="A324" s="4" t="s">
        <v>1233</v>
      </c>
      <c r="B324" s="4" t="s">
        <v>448</v>
      </c>
      <c r="C324" s="4" t="s">
        <v>1234</v>
      </c>
      <c r="D324" s="4" t="s">
        <v>111</v>
      </c>
      <c r="E324" s="4" t="s">
        <v>1235</v>
      </c>
      <c r="F324" s="4" t="s">
        <v>9</v>
      </c>
      <c r="G324" s="4" t="s">
        <v>19</v>
      </c>
      <c r="H324" s="4" t="s">
        <v>96</v>
      </c>
      <c r="I324" s="4">
        <v>1327</v>
      </c>
      <c r="J324" s="4">
        <v>3421</v>
      </c>
      <c r="K324" s="4">
        <v>4</v>
      </c>
      <c r="L324" s="4" t="b">
        <f>TRUE()</f>
        <v>1</v>
      </c>
    </row>
    <row r="325" spans="1:12" x14ac:dyDescent="0.2">
      <c r="A325" s="4" t="s">
        <v>1236</v>
      </c>
      <c r="B325" s="4" t="s">
        <v>176</v>
      </c>
      <c r="C325" s="4" t="s">
        <v>1237</v>
      </c>
      <c r="D325" s="4" t="s">
        <v>133</v>
      </c>
      <c r="E325" s="4" t="s">
        <v>874</v>
      </c>
      <c r="F325" s="4" t="s">
        <v>14</v>
      </c>
      <c r="G325" s="4" t="s">
        <v>22</v>
      </c>
      <c r="H325" s="4" t="s">
        <v>102</v>
      </c>
      <c r="I325" s="4">
        <v>1164</v>
      </c>
      <c r="J325" s="4">
        <v>1562</v>
      </c>
      <c r="K325" s="4">
        <v>5</v>
      </c>
      <c r="L325" s="4" t="b">
        <f>FALSE()</f>
        <v>0</v>
      </c>
    </row>
    <row r="326" spans="1:12" x14ac:dyDescent="0.2">
      <c r="A326" s="4" t="s">
        <v>1238</v>
      </c>
      <c r="B326" s="4" t="s">
        <v>1239</v>
      </c>
      <c r="C326" s="4" t="s">
        <v>1240</v>
      </c>
      <c r="D326" s="4" t="s">
        <v>94</v>
      </c>
      <c r="E326" s="4" t="s">
        <v>331</v>
      </c>
      <c r="F326" s="4" t="s">
        <v>10</v>
      </c>
      <c r="G326" s="4" t="s">
        <v>20</v>
      </c>
      <c r="H326" s="4" t="s">
        <v>150</v>
      </c>
      <c r="I326" s="4">
        <v>1663</v>
      </c>
      <c r="J326" s="4">
        <v>4635</v>
      </c>
      <c r="K326" s="4">
        <v>5</v>
      </c>
      <c r="L326" s="4" t="b">
        <f>FALSE()</f>
        <v>0</v>
      </c>
    </row>
    <row r="327" spans="1:12" x14ac:dyDescent="0.2">
      <c r="A327" s="4" t="s">
        <v>1241</v>
      </c>
      <c r="B327" s="4" t="s">
        <v>1242</v>
      </c>
      <c r="C327" s="4" t="s">
        <v>1243</v>
      </c>
      <c r="D327" s="4" t="s">
        <v>137</v>
      </c>
      <c r="E327" s="4" t="s">
        <v>1244</v>
      </c>
      <c r="F327" s="4" t="s">
        <v>13</v>
      </c>
      <c r="G327" s="4" t="s">
        <v>18</v>
      </c>
      <c r="H327" s="4" t="s">
        <v>150</v>
      </c>
      <c r="I327" s="4">
        <v>918</v>
      </c>
      <c r="J327" s="4">
        <v>851</v>
      </c>
      <c r="K327" s="4">
        <v>4</v>
      </c>
      <c r="L327" s="4" t="b">
        <f>FALSE()</f>
        <v>0</v>
      </c>
    </row>
    <row r="328" spans="1:12" x14ac:dyDescent="0.2">
      <c r="A328" s="4" t="s">
        <v>1245</v>
      </c>
      <c r="B328" s="4" t="s">
        <v>1246</v>
      </c>
      <c r="C328" s="4" t="s">
        <v>1247</v>
      </c>
      <c r="D328" s="4" t="s">
        <v>100</v>
      </c>
      <c r="E328" s="4" t="s">
        <v>214</v>
      </c>
      <c r="F328" s="4" t="s">
        <v>9</v>
      </c>
      <c r="G328" s="4" t="s">
        <v>23</v>
      </c>
      <c r="H328" s="4" t="s">
        <v>96</v>
      </c>
      <c r="I328" s="4">
        <v>1637</v>
      </c>
      <c r="J328" s="4">
        <v>2050</v>
      </c>
      <c r="K328" s="4">
        <v>4</v>
      </c>
      <c r="L328" s="4" t="b">
        <f>FALSE()</f>
        <v>0</v>
      </c>
    </row>
    <row r="329" spans="1:12" x14ac:dyDescent="0.2">
      <c r="A329" s="4" t="s">
        <v>1248</v>
      </c>
      <c r="B329" s="4" t="s">
        <v>220</v>
      </c>
      <c r="C329" s="4" t="s">
        <v>1249</v>
      </c>
      <c r="D329" s="4" t="s">
        <v>88</v>
      </c>
      <c r="E329" s="4" t="s">
        <v>1250</v>
      </c>
      <c r="F329" s="4" t="s">
        <v>11</v>
      </c>
      <c r="G329" s="4" t="s">
        <v>20</v>
      </c>
      <c r="H329" s="4" t="s">
        <v>107</v>
      </c>
      <c r="I329" s="4">
        <v>663</v>
      </c>
      <c r="J329" s="4">
        <v>2150</v>
      </c>
      <c r="K329" s="4">
        <v>2</v>
      </c>
      <c r="L329" s="4" t="b">
        <f>FALSE()</f>
        <v>0</v>
      </c>
    </row>
    <row r="330" spans="1:12" x14ac:dyDescent="0.2">
      <c r="A330" s="4" t="s">
        <v>1251</v>
      </c>
      <c r="B330" s="4" t="s">
        <v>863</v>
      </c>
      <c r="C330" s="4" t="s">
        <v>1252</v>
      </c>
      <c r="D330" s="4" t="s">
        <v>133</v>
      </c>
      <c r="E330" s="4" t="s">
        <v>715</v>
      </c>
      <c r="F330" s="4" t="s">
        <v>10</v>
      </c>
      <c r="G330" s="4" t="s">
        <v>18</v>
      </c>
      <c r="H330" s="4" t="s">
        <v>102</v>
      </c>
      <c r="I330" s="4">
        <v>904</v>
      </c>
      <c r="J330" s="4">
        <v>5450</v>
      </c>
      <c r="K330" s="4">
        <v>4</v>
      </c>
      <c r="L330" s="4" t="b">
        <f>FALSE()</f>
        <v>0</v>
      </c>
    </row>
    <row r="331" spans="1:12" x14ac:dyDescent="0.2">
      <c r="A331" s="4" t="s">
        <v>1253</v>
      </c>
      <c r="B331" s="4" t="s">
        <v>1254</v>
      </c>
      <c r="C331" s="4" t="s">
        <v>1255</v>
      </c>
      <c r="D331" s="4" t="s">
        <v>133</v>
      </c>
      <c r="E331" s="4" t="s">
        <v>436</v>
      </c>
      <c r="F331" s="4" t="s">
        <v>11</v>
      </c>
      <c r="G331" s="4" t="s">
        <v>18</v>
      </c>
      <c r="H331" s="4" t="s">
        <v>150</v>
      </c>
      <c r="I331" s="4">
        <v>1310</v>
      </c>
      <c r="J331" s="4">
        <v>1557</v>
      </c>
      <c r="K331" s="4">
        <v>3</v>
      </c>
      <c r="L331" s="4" t="b">
        <f>FALSE()</f>
        <v>0</v>
      </c>
    </row>
    <row r="332" spans="1:12" x14ac:dyDescent="0.2">
      <c r="A332" s="4" t="s">
        <v>1256</v>
      </c>
      <c r="B332" s="4" t="s">
        <v>1257</v>
      </c>
      <c r="C332" s="4" t="s">
        <v>1258</v>
      </c>
      <c r="D332" s="4" t="s">
        <v>137</v>
      </c>
      <c r="E332" s="4" t="s">
        <v>112</v>
      </c>
      <c r="F332" s="4" t="s">
        <v>14</v>
      </c>
      <c r="G332" s="4" t="s">
        <v>19</v>
      </c>
      <c r="H332" s="4" t="s">
        <v>102</v>
      </c>
      <c r="I332" s="4">
        <v>1301</v>
      </c>
      <c r="J332" s="4">
        <v>4208</v>
      </c>
      <c r="K332" s="4">
        <v>1</v>
      </c>
      <c r="L332" s="4" t="b">
        <f>FALSE()</f>
        <v>0</v>
      </c>
    </row>
    <row r="333" spans="1:12" x14ac:dyDescent="0.2">
      <c r="A333" s="4" t="s">
        <v>1259</v>
      </c>
      <c r="B333" s="4" t="s">
        <v>329</v>
      </c>
      <c r="C333" s="4" t="s">
        <v>1260</v>
      </c>
      <c r="D333" s="4" t="s">
        <v>88</v>
      </c>
      <c r="E333" s="4" t="s">
        <v>1261</v>
      </c>
      <c r="F333" s="4" t="s">
        <v>9</v>
      </c>
      <c r="G333" s="4" t="s">
        <v>23</v>
      </c>
      <c r="H333" s="4" t="s">
        <v>96</v>
      </c>
      <c r="I333" s="4">
        <v>1049</v>
      </c>
      <c r="J333" s="4">
        <v>1167</v>
      </c>
      <c r="K333" s="4">
        <v>1</v>
      </c>
      <c r="L333" s="4" t="b">
        <f>FALSE()</f>
        <v>0</v>
      </c>
    </row>
    <row r="334" spans="1:12" x14ac:dyDescent="0.2">
      <c r="A334" s="4" t="s">
        <v>1262</v>
      </c>
      <c r="B334" s="4" t="s">
        <v>1263</v>
      </c>
      <c r="C334" s="4" t="s">
        <v>1264</v>
      </c>
      <c r="D334" s="4" t="s">
        <v>94</v>
      </c>
      <c r="E334" s="4" t="s">
        <v>650</v>
      </c>
      <c r="F334" s="4" t="s">
        <v>14</v>
      </c>
      <c r="G334" s="4" t="s">
        <v>20</v>
      </c>
      <c r="H334" s="4" t="s">
        <v>102</v>
      </c>
      <c r="I334" s="4">
        <v>1122</v>
      </c>
      <c r="J334" s="4">
        <v>2745</v>
      </c>
      <c r="K334" s="4">
        <v>4</v>
      </c>
      <c r="L334" s="4" t="b">
        <f>FALSE()</f>
        <v>0</v>
      </c>
    </row>
    <row r="335" spans="1:12" x14ac:dyDescent="0.2">
      <c r="A335" s="4" t="s">
        <v>1265</v>
      </c>
      <c r="B335" s="4" t="s">
        <v>1266</v>
      </c>
      <c r="C335" s="4" t="s">
        <v>1267</v>
      </c>
      <c r="D335" s="4" t="s">
        <v>111</v>
      </c>
      <c r="E335" s="4" t="s">
        <v>1268</v>
      </c>
      <c r="F335" s="4" t="s">
        <v>13</v>
      </c>
      <c r="G335" s="4" t="s">
        <v>20</v>
      </c>
      <c r="H335" s="4" t="s">
        <v>102</v>
      </c>
      <c r="I335" s="4">
        <v>1825</v>
      </c>
      <c r="J335" s="4">
        <v>2342</v>
      </c>
      <c r="K335" s="4">
        <v>5</v>
      </c>
      <c r="L335" s="4" t="b">
        <f>FALSE()</f>
        <v>0</v>
      </c>
    </row>
    <row r="336" spans="1:12" x14ac:dyDescent="0.2">
      <c r="A336" s="4" t="s">
        <v>1269</v>
      </c>
      <c r="B336" s="4" t="s">
        <v>797</v>
      </c>
      <c r="C336" s="4" t="s">
        <v>1270</v>
      </c>
      <c r="D336" s="4" t="s">
        <v>133</v>
      </c>
      <c r="E336" s="4" t="s">
        <v>1271</v>
      </c>
      <c r="F336" s="4" t="s">
        <v>14</v>
      </c>
      <c r="G336" s="4" t="s">
        <v>23</v>
      </c>
      <c r="H336" s="4" t="s">
        <v>150</v>
      </c>
      <c r="I336" s="4">
        <v>1819</v>
      </c>
      <c r="J336" s="4">
        <v>1224</v>
      </c>
      <c r="K336" s="4">
        <v>1</v>
      </c>
      <c r="L336" s="4" t="b">
        <f>FALSE()</f>
        <v>0</v>
      </c>
    </row>
    <row r="337" spans="1:12" x14ac:dyDescent="0.2">
      <c r="A337" s="4" t="s">
        <v>1272</v>
      </c>
      <c r="B337" s="4" t="s">
        <v>1273</v>
      </c>
      <c r="C337" s="4" t="s">
        <v>1274</v>
      </c>
      <c r="D337" s="4" t="s">
        <v>137</v>
      </c>
      <c r="E337" s="4" t="s">
        <v>687</v>
      </c>
      <c r="F337" s="4" t="s">
        <v>9</v>
      </c>
      <c r="G337" s="4" t="s">
        <v>18</v>
      </c>
      <c r="H337" s="4" t="s">
        <v>90</v>
      </c>
      <c r="I337" s="4">
        <v>1951</v>
      </c>
      <c r="J337" s="4">
        <v>674</v>
      </c>
      <c r="K337" s="4">
        <v>4</v>
      </c>
      <c r="L337" s="4" t="b">
        <f>FALSE()</f>
        <v>0</v>
      </c>
    </row>
    <row r="338" spans="1:12" x14ac:dyDescent="0.2">
      <c r="A338" s="4" t="s">
        <v>1275</v>
      </c>
      <c r="B338" s="4" t="s">
        <v>1276</v>
      </c>
      <c r="C338" s="4" t="s">
        <v>1277</v>
      </c>
      <c r="D338" s="4" t="s">
        <v>88</v>
      </c>
      <c r="E338" s="4" t="s">
        <v>1278</v>
      </c>
      <c r="F338" s="4" t="s">
        <v>12</v>
      </c>
      <c r="G338" s="4" t="s">
        <v>22</v>
      </c>
      <c r="H338" s="4" t="s">
        <v>102</v>
      </c>
      <c r="I338" s="4">
        <v>1616</v>
      </c>
      <c r="J338" s="4">
        <v>1157</v>
      </c>
      <c r="K338" s="4">
        <v>3</v>
      </c>
      <c r="L338" s="4" t="b">
        <f>FALSE()</f>
        <v>0</v>
      </c>
    </row>
    <row r="339" spans="1:12" x14ac:dyDescent="0.2">
      <c r="A339" s="4" t="s">
        <v>1279</v>
      </c>
      <c r="B339" s="4" t="s">
        <v>1280</v>
      </c>
      <c r="C339" s="4" t="s">
        <v>1281</v>
      </c>
      <c r="D339" s="4" t="s">
        <v>94</v>
      </c>
      <c r="E339" s="4" t="s">
        <v>1282</v>
      </c>
      <c r="F339" s="4" t="s">
        <v>14</v>
      </c>
      <c r="G339" s="4" t="s">
        <v>23</v>
      </c>
      <c r="H339" s="4" t="s">
        <v>90</v>
      </c>
      <c r="I339" s="4">
        <v>2034</v>
      </c>
      <c r="J339" s="4">
        <v>1995</v>
      </c>
      <c r="K339" s="4">
        <v>3</v>
      </c>
      <c r="L339" s="4" t="b">
        <f>FALSE()</f>
        <v>0</v>
      </c>
    </row>
    <row r="340" spans="1:12" x14ac:dyDescent="0.2">
      <c r="A340" s="4" t="s">
        <v>1283</v>
      </c>
      <c r="B340" s="4" t="s">
        <v>1284</v>
      </c>
      <c r="C340" s="4" t="s">
        <v>1285</v>
      </c>
      <c r="D340" s="4" t="s">
        <v>137</v>
      </c>
      <c r="E340" s="4" t="s">
        <v>218</v>
      </c>
      <c r="F340" s="4" t="s">
        <v>14</v>
      </c>
      <c r="G340" s="4" t="s">
        <v>23</v>
      </c>
      <c r="H340" s="4" t="s">
        <v>107</v>
      </c>
      <c r="I340" s="4">
        <v>1728</v>
      </c>
      <c r="J340" s="4">
        <v>1721</v>
      </c>
      <c r="K340" s="4">
        <v>3</v>
      </c>
      <c r="L340" s="4" t="b">
        <f>FALSE()</f>
        <v>0</v>
      </c>
    </row>
    <row r="341" spans="1:12" x14ac:dyDescent="0.2">
      <c r="A341" s="4" t="s">
        <v>1286</v>
      </c>
      <c r="B341" s="4" t="s">
        <v>1157</v>
      </c>
      <c r="C341" s="4" t="s">
        <v>1287</v>
      </c>
      <c r="D341" s="4" t="s">
        <v>100</v>
      </c>
      <c r="E341" s="4" t="s">
        <v>1288</v>
      </c>
      <c r="F341" s="4" t="s">
        <v>11</v>
      </c>
      <c r="G341" s="4" t="s">
        <v>23</v>
      </c>
      <c r="H341" s="4" t="s">
        <v>96</v>
      </c>
      <c r="I341" s="4">
        <v>1237</v>
      </c>
      <c r="J341" s="4">
        <v>3120</v>
      </c>
      <c r="K341" s="4">
        <v>4</v>
      </c>
      <c r="L341" s="4" t="b">
        <f>FALSE()</f>
        <v>0</v>
      </c>
    </row>
    <row r="342" spans="1:12" x14ac:dyDescent="0.2">
      <c r="A342" s="4" t="s">
        <v>1289</v>
      </c>
      <c r="B342" s="4" t="s">
        <v>1290</v>
      </c>
      <c r="C342" s="4" t="s">
        <v>1291</v>
      </c>
      <c r="D342" s="4" t="s">
        <v>100</v>
      </c>
      <c r="E342" s="4" t="s">
        <v>1292</v>
      </c>
      <c r="F342" s="4" t="s">
        <v>9</v>
      </c>
      <c r="G342" s="4" t="s">
        <v>19</v>
      </c>
      <c r="H342" s="4" t="s">
        <v>96</v>
      </c>
      <c r="I342" s="4">
        <v>1567</v>
      </c>
      <c r="J342" s="4">
        <v>4831</v>
      </c>
      <c r="K342" s="4">
        <v>3</v>
      </c>
      <c r="L342" s="4" t="b">
        <f>FALSE()</f>
        <v>0</v>
      </c>
    </row>
    <row r="343" spans="1:12" x14ac:dyDescent="0.2">
      <c r="A343" s="4" t="s">
        <v>1293</v>
      </c>
      <c r="B343" s="4" t="s">
        <v>1294</v>
      </c>
      <c r="C343" s="4" t="s">
        <v>1295</v>
      </c>
      <c r="D343" s="4" t="s">
        <v>88</v>
      </c>
      <c r="E343" s="4" t="s">
        <v>174</v>
      </c>
      <c r="F343" s="4" t="s">
        <v>10</v>
      </c>
      <c r="G343" s="4" t="s">
        <v>24</v>
      </c>
      <c r="H343" s="4" t="s">
        <v>102</v>
      </c>
      <c r="I343" s="4">
        <v>3498</v>
      </c>
      <c r="J343" s="4">
        <v>6383</v>
      </c>
      <c r="K343" s="4">
        <v>5</v>
      </c>
      <c r="L343" s="4" t="b">
        <f>FALSE()</f>
        <v>0</v>
      </c>
    </row>
    <row r="344" spans="1:12" x14ac:dyDescent="0.2">
      <c r="A344" s="4" t="s">
        <v>1296</v>
      </c>
      <c r="B344" s="4" t="s">
        <v>1297</v>
      </c>
      <c r="C344" s="4" t="s">
        <v>1298</v>
      </c>
      <c r="D344" s="4" t="s">
        <v>111</v>
      </c>
      <c r="E344" s="4" t="s">
        <v>846</v>
      </c>
      <c r="F344" s="4" t="s">
        <v>10</v>
      </c>
      <c r="G344" s="4" t="s">
        <v>19</v>
      </c>
      <c r="H344" s="4" t="s">
        <v>90</v>
      </c>
      <c r="I344" s="4">
        <v>384</v>
      </c>
      <c r="J344" s="4">
        <v>672</v>
      </c>
      <c r="K344" s="4">
        <v>2</v>
      </c>
      <c r="L344" s="4" t="b">
        <f>FALSE()</f>
        <v>0</v>
      </c>
    </row>
    <row r="345" spans="1:12" x14ac:dyDescent="0.2">
      <c r="A345" s="4" t="s">
        <v>1299</v>
      </c>
      <c r="B345" s="4" t="s">
        <v>1300</v>
      </c>
      <c r="C345" s="4" t="s">
        <v>1301</v>
      </c>
      <c r="D345" s="4" t="s">
        <v>111</v>
      </c>
      <c r="E345" s="4" t="s">
        <v>1302</v>
      </c>
      <c r="F345" s="4" t="s">
        <v>14</v>
      </c>
      <c r="G345" s="4" t="s">
        <v>24</v>
      </c>
      <c r="H345" s="4" t="s">
        <v>90</v>
      </c>
      <c r="I345" s="4">
        <v>987</v>
      </c>
      <c r="J345" s="4">
        <v>4620</v>
      </c>
      <c r="K345" s="4">
        <v>5</v>
      </c>
      <c r="L345" s="4" t="b">
        <f>FALSE()</f>
        <v>0</v>
      </c>
    </row>
    <row r="346" spans="1:12" x14ac:dyDescent="0.2">
      <c r="A346" s="4" t="s">
        <v>1303</v>
      </c>
      <c r="B346" s="4" t="s">
        <v>703</v>
      </c>
      <c r="C346" s="4" t="s">
        <v>1304</v>
      </c>
      <c r="D346" s="4" t="s">
        <v>88</v>
      </c>
      <c r="E346" s="4" t="s">
        <v>186</v>
      </c>
      <c r="F346" s="4" t="s">
        <v>12</v>
      </c>
      <c r="G346" s="4" t="s">
        <v>19</v>
      </c>
      <c r="H346" s="4" t="s">
        <v>125</v>
      </c>
      <c r="I346" s="4">
        <v>1530</v>
      </c>
      <c r="J346" s="4">
        <v>5797</v>
      </c>
      <c r="K346" s="4">
        <v>1</v>
      </c>
      <c r="L346" s="4" t="b">
        <f>FALSE()</f>
        <v>0</v>
      </c>
    </row>
    <row r="347" spans="1:12" x14ac:dyDescent="0.2">
      <c r="A347" s="4" t="s">
        <v>1305</v>
      </c>
      <c r="B347" s="4" t="s">
        <v>1306</v>
      </c>
      <c r="C347" s="4" t="s">
        <v>1307</v>
      </c>
      <c r="D347" s="4" t="s">
        <v>133</v>
      </c>
      <c r="E347" s="4" t="s">
        <v>214</v>
      </c>
      <c r="F347" s="4" t="s">
        <v>9</v>
      </c>
      <c r="G347" s="4" t="s">
        <v>18</v>
      </c>
      <c r="H347" s="4" t="s">
        <v>125</v>
      </c>
      <c r="I347" s="4">
        <v>1069</v>
      </c>
      <c r="J347" s="4">
        <v>4101</v>
      </c>
      <c r="K347" s="4">
        <v>4</v>
      </c>
      <c r="L347" s="4" t="b">
        <f>TRUE()</f>
        <v>1</v>
      </c>
    </row>
    <row r="348" spans="1:12" x14ac:dyDescent="0.2">
      <c r="A348" s="4" t="s">
        <v>1308</v>
      </c>
      <c r="B348" s="4" t="s">
        <v>1309</v>
      </c>
      <c r="C348" s="4" t="s">
        <v>1310</v>
      </c>
      <c r="D348" s="4" t="s">
        <v>111</v>
      </c>
      <c r="E348" s="4" t="s">
        <v>244</v>
      </c>
      <c r="F348" s="4" t="s">
        <v>14</v>
      </c>
      <c r="G348" s="4" t="s">
        <v>18</v>
      </c>
      <c r="H348" s="4" t="s">
        <v>125</v>
      </c>
      <c r="I348" s="4">
        <v>1223</v>
      </c>
      <c r="J348" s="4">
        <v>402</v>
      </c>
      <c r="K348" s="4">
        <v>5</v>
      </c>
      <c r="L348" s="4" t="b">
        <f>FALSE()</f>
        <v>0</v>
      </c>
    </row>
    <row r="349" spans="1:12" x14ac:dyDescent="0.2">
      <c r="A349" s="4" t="s">
        <v>1311</v>
      </c>
      <c r="B349" s="4" t="s">
        <v>301</v>
      </c>
      <c r="C349" s="4" t="s">
        <v>1312</v>
      </c>
      <c r="D349" s="4" t="s">
        <v>100</v>
      </c>
      <c r="E349" s="4" t="s">
        <v>1313</v>
      </c>
      <c r="F349" s="4" t="s">
        <v>9</v>
      </c>
      <c r="G349" s="4" t="s">
        <v>20</v>
      </c>
      <c r="H349" s="4" t="s">
        <v>125</v>
      </c>
      <c r="I349" s="4">
        <v>1003</v>
      </c>
      <c r="J349" s="4">
        <v>6273</v>
      </c>
      <c r="K349" s="4">
        <v>5</v>
      </c>
      <c r="L349" s="4" t="b">
        <f>FALSE()</f>
        <v>0</v>
      </c>
    </row>
    <row r="350" spans="1:12" x14ac:dyDescent="0.2">
      <c r="A350" s="4" t="s">
        <v>1314</v>
      </c>
      <c r="B350" s="4" t="s">
        <v>1315</v>
      </c>
      <c r="C350" s="4" t="s">
        <v>1316</v>
      </c>
      <c r="D350" s="4" t="s">
        <v>88</v>
      </c>
      <c r="E350" s="4" t="s">
        <v>218</v>
      </c>
      <c r="F350" s="4" t="s">
        <v>10</v>
      </c>
      <c r="G350" s="4" t="s">
        <v>21</v>
      </c>
      <c r="H350" s="4" t="s">
        <v>90</v>
      </c>
      <c r="I350" s="4">
        <v>1357</v>
      </c>
      <c r="J350" s="4">
        <v>5288</v>
      </c>
      <c r="K350" s="4">
        <v>4</v>
      </c>
      <c r="L350" s="4" t="b">
        <f>FALSE()</f>
        <v>0</v>
      </c>
    </row>
    <row r="351" spans="1:12" x14ac:dyDescent="0.2">
      <c r="A351" s="4" t="s">
        <v>1317</v>
      </c>
      <c r="B351" s="4" t="s">
        <v>1318</v>
      </c>
      <c r="C351" s="4" t="s">
        <v>1319</v>
      </c>
      <c r="D351" s="4" t="s">
        <v>133</v>
      </c>
      <c r="E351" s="4" t="s">
        <v>566</v>
      </c>
      <c r="F351" s="4" t="s">
        <v>14</v>
      </c>
      <c r="G351" s="4" t="s">
        <v>20</v>
      </c>
      <c r="H351" s="4" t="s">
        <v>107</v>
      </c>
      <c r="I351" s="4">
        <v>1028</v>
      </c>
      <c r="J351" s="4">
        <v>3793</v>
      </c>
      <c r="K351" s="4">
        <v>5</v>
      </c>
      <c r="L351" s="4" t="b">
        <f>FALSE()</f>
        <v>0</v>
      </c>
    </row>
    <row r="352" spans="1:12" x14ac:dyDescent="0.2">
      <c r="A352" s="4" t="s">
        <v>1320</v>
      </c>
      <c r="B352" s="4" t="s">
        <v>1321</v>
      </c>
      <c r="C352" s="4" t="s">
        <v>1322</v>
      </c>
      <c r="D352" s="4" t="s">
        <v>94</v>
      </c>
      <c r="E352" s="4" t="s">
        <v>1323</v>
      </c>
      <c r="F352" s="4" t="s">
        <v>10</v>
      </c>
      <c r="G352" s="4" t="s">
        <v>20</v>
      </c>
      <c r="H352" s="4" t="s">
        <v>90</v>
      </c>
      <c r="I352" s="4">
        <v>1706</v>
      </c>
      <c r="J352" s="4">
        <v>5397</v>
      </c>
      <c r="K352" s="4">
        <v>5</v>
      </c>
      <c r="L352" s="4" t="b">
        <f>FALSE()</f>
        <v>0</v>
      </c>
    </row>
    <row r="353" spans="1:12" x14ac:dyDescent="0.2">
      <c r="A353" s="4" t="s">
        <v>1324</v>
      </c>
      <c r="B353" s="4" t="s">
        <v>852</v>
      </c>
      <c r="C353" s="4" t="s">
        <v>1325</v>
      </c>
      <c r="D353" s="4" t="s">
        <v>111</v>
      </c>
      <c r="E353" s="4" t="s">
        <v>1326</v>
      </c>
      <c r="F353" s="4" t="s">
        <v>13</v>
      </c>
      <c r="G353" s="4" t="s">
        <v>21</v>
      </c>
      <c r="H353" s="4" t="s">
        <v>150</v>
      </c>
      <c r="I353" s="4">
        <v>978</v>
      </c>
      <c r="J353" s="4">
        <v>4315</v>
      </c>
      <c r="K353" s="4">
        <v>5</v>
      </c>
      <c r="L353" s="4" t="b">
        <f>FALSE()</f>
        <v>0</v>
      </c>
    </row>
    <row r="354" spans="1:12" x14ac:dyDescent="0.2">
      <c r="A354" s="4" t="s">
        <v>1327</v>
      </c>
      <c r="B354" s="4" t="s">
        <v>1328</v>
      </c>
      <c r="C354" s="4" t="s">
        <v>1329</v>
      </c>
      <c r="D354" s="4" t="s">
        <v>94</v>
      </c>
      <c r="E354" s="4" t="s">
        <v>218</v>
      </c>
      <c r="F354" s="4" t="s">
        <v>12</v>
      </c>
      <c r="G354" s="4" t="s">
        <v>22</v>
      </c>
      <c r="H354" s="4" t="s">
        <v>96</v>
      </c>
      <c r="I354" s="4">
        <v>980</v>
      </c>
      <c r="J354" s="4">
        <v>4673</v>
      </c>
      <c r="K354" s="4">
        <v>4</v>
      </c>
      <c r="L354" s="4" t="b">
        <f>FALSE()</f>
        <v>0</v>
      </c>
    </row>
    <row r="355" spans="1:12" x14ac:dyDescent="0.2">
      <c r="A355" s="4" t="s">
        <v>1330</v>
      </c>
      <c r="B355" s="4" t="s">
        <v>1077</v>
      </c>
      <c r="C355" s="4" t="s">
        <v>1331</v>
      </c>
      <c r="D355" s="4" t="s">
        <v>133</v>
      </c>
      <c r="E355" s="4" t="s">
        <v>174</v>
      </c>
      <c r="F355" s="4" t="s">
        <v>11</v>
      </c>
      <c r="G355" s="4" t="s">
        <v>20</v>
      </c>
      <c r="H355" s="4" t="s">
        <v>150</v>
      </c>
      <c r="I355" s="4">
        <v>1872</v>
      </c>
      <c r="J355" s="4">
        <v>3165</v>
      </c>
      <c r="K355" s="4">
        <v>4</v>
      </c>
      <c r="L355" s="4" t="b">
        <f>FALSE()</f>
        <v>0</v>
      </c>
    </row>
    <row r="356" spans="1:12" x14ac:dyDescent="0.2">
      <c r="A356" s="4" t="s">
        <v>1332</v>
      </c>
      <c r="B356" s="4" t="s">
        <v>610</v>
      </c>
      <c r="C356" s="4" t="s">
        <v>1333</v>
      </c>
      <c r="D356" s="4" t="s">
        <v>137</v>
      </c>
      <c r="E356" s="4" t="s">
        <v>1334</v>
      </c>
      <c r="F356" s="4" t="s">
        <v>13</v>
      </c>
      <c r="G356" s="4" t="s">
        <v>22</v>
      </c>
      <c r="H356" s="4" t="s">
        <v>102</v>
      </c>
      <c r="I356" s="4">
        <v>1837</v>
      </c>
      <c r="J356" s="4">
        <v>466</v>
      </c>
      <c r="K356" s="4">
        <v>5</v>
      </c>
      <c r="L356" s="4" t="b">
        <f>FALSE()</f>
        <v>0</v>
      </c>
    </row>
    <row r="357" spans="1:12" x14ac:dyDescent="0.2">
      <c r="A357" s="4" t="s">
        <v>1335</v>
      </c>
      <c r="B357" s="4" t="s">
        <v>1336</v>
      </c>
      <c r="C357" s="4" t="s">
        <v>1337</v>
      </c>
      <c r="D357" s="4" t="s">
        <v>133</v>
      </c>
      <c r="E357" s="4" t="s">
        <v>1338</v>
      </c>
      <c r="F357" s="4" t="s">
        <v>12</v>
      </c>
      <c r="G357" s="4" t="s">
        <v>24</v>
      </c>
      <c r="H357" s="4" t="s">
        <v>90</v>
      </c>
      <c r="I357" s="4">
        <v>716</v>
      </c>
      <c r="J357" s="4">
        <v>1886</v>
      </c>
      <c r="K357" s="4">
        <v>3</v>
      </c>
      <c r="L357" s="4" t="b">
        <f>FALSE()</f>
        <v>0</v>
      </c>
    </row>
    <row r="358" spans="1:12" x14ac:dyDescent="0.2">
      <c r="A358" s="4" t="s">
        <v>1339</v>
      </c>
      <c r="B358" s="4" t="s">
        <v>1340</v>
      </c>
      <c r="C358" s="4" t="s">
        <v>1341</v>
      </c>
      <c r="D358" s="4" t="s">
        <v>137</v>
      </c>
      <c r="E358" s="4" t="s">
        <v>566</v>
      </c>
      <c r="F358" s="4" t="s">
        <v>14</v>
      </c>
      <c r="G358" s="4" t="s">
        <v>23</v>
      </c>
      <c r="H358" s="4" t="s">
        <v>107</v>
      </c>
      <c r="I358" s="4">
        <v>1589</v>
      </c>
      <c r="J358" s="4">
        <v>5996</v>
      </c>
      <c r="K358" s="4">
        <v>4</v>
      </c>
      <c r="L358" s="4" t="b">
        <f>FALSE()</f>
        <v>0</v>
      </c>
    </row>
    <row r="359" spans="1:12" x14ac:dyDescent="0.2">
      <c r="A359" s="4" t="s">
        <v>1342</v>
      </c>
      <c r="B359" s="4" t="s">
        <v>1343</v>
      </c>
      <c r="C359" s="4" t="s">
        <v>1344</v>
      </c>
      <c r="D359" s="4" t="s">
        <v>133</v>
      </c>
      <c r="E359" s="4" t="s">
        <v>372</v>
      </c>
      <c r="F359" s="4" t="s">
        <v>12</v>
      </c>
      <c r="G359" s="4" t="s">
        <v>21</v>
      </c>
      <c r="H359" s="4" t="s">
        <v>150</v>
      </c>
      <c r="I359" s="4">
        <v>1194</v>
      </c>
      <c r="J359" s="4">
        <v>1154</v>
      </c>
      <c r="K359" s="4">
        <v>4</v>
      </c>
      <c r="L359" s="4" t="b">
        <f>FALSE()</f>
        <v>0</v>
      </c>
    </row>
    <row r="360" spans="1:12" x14ac:dyDescent="0.2">
      <c r="A360" s="4" t="s">
        <v>1345</v>
      </c>
      <c r="B360" s="4" t="s">
        <v>872</v>
      </c>
      <c r="C360" s="4" t="s">
        <v>1346</v>
      </c>
      <c r="D360" s="4" t="s">
        <v>94</v>
      </c>
      <c r="E360" s="4" t="s">
        <v>907</v>
      </c>
      <c r="F360" s="4" t="s">
        <v>11</v>
      </c>
      <c r="G360" s="4" t="s">
        <v>18</v>
      </c>
      <c r="H360" s="4" t="s">
        <v>90</v>
      </c>
      <c r="I360" s="4">
        <v>1904</v>
      </c>
      <c r="J360" s="4">
        <v>5357</v>
      </c>
      <c r="K360" s="4">
        <v>4</v>
      </c>
      <c r="L360" s="4" t="b">
        <f>FALSE()</f>
        <v>0</v>
      </c>
    </row>
    <row r="361" spans="1:12" x14ac:dyDescent="0.2">
      <c r="A361" s="4" t="s">
        <v>1347</v>
      </c>
      <c r="B361" s="4" t="s">
        <v>147</v>
      </c>
      <c r="C361" s="4" t="s">
        <v>1348</v>
      </c>
      <c r="D361" s="4" t="s">
        <v>111</v>
      </c>
      <c r="E361" s="4" t="s">
        <v>715</v>
      </c>
      <c r="F361" s="4" t="s">
        <v>12</v>
      </c>
      <c r="G361" s="4" t="s">
        <v>18</v>
      </c>
      <c r="H361" s="4" t="s">
        <v>125</v>
      </c>
      <c r="I361" s="4">
        <v>1184</v>
      </c>
      <c r="J361" s="4">
        <v>4737</v>
      </c>
      <c r="K361" s="4">
        <v>5</v>
      </c>
      <c r="L361" s="4" t="b">
        <f>FALSE()</f>
        <v>0</v>
      </c>
    </row>
    <row r="362" spans="1:12" x14ac:dyDescent="0.2">
      <c r="A362" s="4" t="s">
        <v>1349</v>
      </c>
      <c r="B362" s="4" t="s">
        <v>1350</v>
      </c>
      <c r="C362" s="4" t="s">
        <v>1351</v>
      </c>
      <c r="D362" s="4" t="s">
        <v>137</v>
      </c>
      <c r="E362" s="4" t="s">
        <v>566</v>
      </c>
      <c r="F362" s="4" t="s">
        <v>10</v>
      </c>
      <c r="G362" s="4" t="s">
        <v>18</v>
      </c>
      <c r="H362" s="4" t="s">
        <v>102</v>
      </c>
      <c r="I362" s="4">
        <v>1488</v>
      </c>
      <c r="J362" s="4">
        <v>717</v>
      </c>
      <c r="K362" s="4">
        <v>4</v>
      </c>
      <c r="L362" s="4" t="b">
        <f>FALSE()</f>
        <v>0</v>
      </c>
    </row>
    <row r="363" spans="1:12" x14ac:dyDescent="0.2">
      <c r="A363" s="4" t="s">
        <v>1352</v>
      </c>
      <c r="B363" s="4" t="s">
        <v>677</v>
      </c>
      <c r="C363" s="4" t="s">
        <v>1353</v>
      </c>
      <c r="D363" s="4" t="s">
        <v>133</v>
      </c>
      <c r="E363" s="4" t="s">
        <v>372</v>
      </c>
      <c r="F363" s="4" t="s">
        <v>12</v>
      </c>
      <c r="G363" s="4" t="s">
        <v>18</v>
      </c>
      <c r="H363" s="4" t="s">
        <v>125</v>
      </c>
      <c r="I363" s="4">
        <v>2681</v>
      </c>
      <c r="J363" s="4">
        <v>3415</v>
      </c>
      <c r="K363" s="4">
        <v>5</v>
      </c>
      <c r="L363" s="4" t="b">
        <f>FALSE()</f>
        <v>0</v>
      </c>
    </row>
    <row r="364" spans="1:12" x14ac:dyDescent="0.2">
      <c r="A364" s="4" t="s">
        <v>1354</v>
      </c>
      <c r="B364" s="4" t="s">
        <v>1355</v>
      </c>
      <c r="C364" s="4" t="s">
        <v>1356</v>
      </c>
      <c r="D364" s="4" t="s">
        <v>94</v>
      </c>
      <c r="E364" s="4" t="s">
        <v>1357</v>
      </c>
      <c r="F364" s="4" t="s">
        <v>12</v>
      </c>
      <c r="G364" s="4" t="s">
        <v>18</v>
      </c>
      <c r="H364" s="4" t="s">
        <v>96</v>
      </c>
      <c r="I364" s="4">
        <v>1357</v>
      </c>
      <c r="J364" s="4">
        <v>2051</v>
      </c>
      <c r="K364" s="4">
        <v>4</v>
      </c>
      <c r="L364" s="4" t="b">
        <f>FALSE()</f>
        <v>0</v>
      </c>
    </row>
    <row r="365" spans="1:12" x14ac:dyDescent="0.2">
      <c r="A365" s="4" t="s">
        <v>1358</v>
      </c>
      <c r="B365" s="4" t="s">
        <v>1359</v>
      </c>
      <c r="C365" s="4" t="s">
        <v>1360</v>
      </c>
      <c r="D365" s="4" t="s">
        <v>88</v>
      </c>
      <c r="E365" s="4" t="s">
        <v>1361</v>
      </c>
      <c r="F365" s="4" t="s">
        <v>14</v>
      </c>
      <c r="G365" s="4" t="s">
        <v>21</v>
      </c>
      <c r="H365" s="4" t="s">
        <v>90</v>
      </c>
      <c r="I365" s="4">
        <v>897</v>
      </c>
      <c r="J365" s="4">
        <v>1088</v>
      </c>
      <c r="K365" s="4">
        <v>5</v>
      </c>
      <c r="L365" s="4" t="b">
        <f>FALSE()</f>
        <v>0</v>
      </c>
    </row>
    <row r="366" spans="1:12" x14ac:dyDescent="0.2">
      <c r="A366" s="4" t="s">
        <v>1362</v>
      </c>
      <c r="B366" s="4" t="s">
        <v>1363</v>
      </c>
      <c r="C366" s="4" t="s">
        <v>1364</v>
      </c>
      <c r="D366" s="4" t="s">
        <v>100</v>
      </c>
      <c r="E366" s="4" t="s">
        <v>1365</v>
      </c>
      <c r="F366" s="4" t="s">
        <v>11</v>
      </c>
      <c r="G366" s="4" t="s">
        <v>21</v>
      </c>
      <c r="H366" s="4" t="s">
        <v>102</v>
      </c>
      <c r="I366" s="4">
        <v>1529</v>
      </c>
      <c r="J366" s="4">
        <v>1180</v>
      </c>
      <c r="K366" s="4">
        <v>3</v>
      </c>
      <c r="L366" s="4" t="b">
        <f>FALSE()</f>
        <v>0</v>
      </c>
    </row>
    <row r="367" spans="1:12" x14ac:dyDescent="0.2">
      <c r="A367" s="4" t="s">
        <v>1366</v>
      </c>
      <c r="B367" s="4" t="s">
        <v>1367</v>
      </c>
      <c r="C367" s="4" t="s">
        <v>1368</v>
      </c>
      <c r="D367" s="4" t="s">
        <v>137</v>
      </c>
      <c r="E367" s="4" t="s">
        <v>1020</v>
      </c>
      <c r="F367" s="4" t="s">
        <v>14</v>
      </c>
      <c r="G367" s="4" t="s">
        <v>19</v>
      </c>
      <c r="H367" s="4" t="s">
        <v>96</v>
      </c>
      <c r="I367" s="4">
        <v>1107</v>
      </c>
      <c r="J367" s="4">
        <v>2303</v>
      </c>
      <c r="K367" s="4">
        <v>5</v>
      </c>
      <c r="L367" s="4" t="b">
        <f>FALSE()</f>
        <v>0</v>
      </c>
    </row>
    <row r="368" spans="1:12" x14ac:dyDescent="0.2">
      <c r="A368" s="4" t="s">
        <v>1369</v>
      </c>
      <c r="B368" s="4" t="s">
        <v>1370</v>
      </c>
      <c r="C368" s="4" t="s">
        <v>1371</v>
      </c>
      <c r="D368" s="4" t="s">
        <v>94</v>
      </c>
      <c r="E368" s="4" t="s">
        <v>1372</v>
      </c>
      <c r="F368" s="4" t="s">
        <v>12</v>
      </c>
      <c r="G368" s="4" t="s">
        <v>23</v>
      </c>
      <c r="H368" s="4" t="s">
        <v>102</v>
      </c>
      <c r="I368" s="4">
        <v>2287</v>
      </c>
      <c r="J368" s="4">
        <v>3249</v>
      </c>
      <c r="K368" s="4">
        <v>3</v>
      </c>
      <c r="L368" s="4" t="b">
        <f>FALSE()</f>
        <v>0</v>
      </c>
    </row>
    <row r="369" spans="1:12" x14ac:dyDescent="0.2">
      <c r="A369" s="4" t="s">
        <v>1373</v>
      </c>
      <c r="B369" s="4" t="s">
        <v>941</v>
      </c>
      <c r="C369" s="4" t="s">
        <v>1374</v>
      </c>
      <c r="D369" s="4" t="s">
        <v>88</v>
      </c>
      <c r="E369" s="4" t="s">
        <v>679</v>
      </c>
      <c r="F369" s="4" t="s">
        <v>11</v>
      </c>
      <c r="G369" s="4" t="s">
        <v>21</v>
      </c>
      <c r="H369" s="4" t="s">
        <v>90</v>
      </c>
      <c r="I369" s="4">
        <v>1119</v>
      </c>
      <c r="J369" s="4">
        <v>3076</v>
      </c>
      <c r="K369" s="4">
        <v>3</v>
      </c>
      <c r="L369" s="4" t="b">
        <f>FALSE()</f>
        <v>0</v>
      </c>
    </row>
    <row r="370" spans="1:12" x14ac:dyDescent="0.2">
      <c r="A370" s="4" t="s">
        <v>1375</v>
      </c>
      <c r="B370" s="4" t="s">
        <v>1376</v>
      </c>
      <c r="C370" s="4" t="s">
        <v>1377</v>
      </c>
      <c r="D370" s="4" t="s">
        <v>100</v>
      </c>
      <c r="E370" s="4" t="s">
        <v>270</v>
      </c>
      <c r="F370" s="4" t="s">
        <v>11</v>
      </c>
      <c r="G370" s="4" t="s">
        <v>20</v>
      </c>
      <c r="H370" s="4" t="s">
        <v>102</v>
      </c>
      <c r="I370" s="4">
        <v>876</v>
      </c>
      <c r="J370" s="4">
        <v>3078</v>
      </c>
      <c r="K370" s="4">
        <v>3</v>
      </c>
      <c r="L370" s="4" t="b">
        <f>FALSE()</f>
        <v>0</v>
      </c>
    </row>
    <row r="371" spans="1:12" x14ac:dyDescent="0.2">
      <c r="A371" s="4" t="s">
        <v>1378</v>
      </c>
      <c r="B371" s="4" t="s">
        <v>1379</v>
      </c>
      <c r="C371" s="4" t="s">
        <v>1380</v>
      </c>
      <c r="D371" s="4" t="s">
        <v>133</v>
      </c>
      <c r="E371" s="4" t="s">
        <v>331</v>
      </c>
      <c r="F371" s="4" t="s">
        <v>14</v>
      </c>
      <c r="G371" s="4" t="s">
        <v>20</v>
      </c>
      <c r="H371" s="4" t="s">
        <v>107</v>
      </c>
      <c r="I371" s="4">
        <v>1065</v>
      </c>
      <c r="J371" s="4">
        <v>3567</v>
      </c>
      <c r="K371" s="4">
        <v>3</v>
      </c>
      <c r="L371" s="4" t="b">
        <f>FALSE()</f>
        <v>0</v>
      </c>
    </row>
    <row r="372" spans="1:12" x14ac:dyDescent="0.2">
      <c r="A372" s="4" t="s">
        <v>1381</v>
      </c>
      <c r="B372" s="4" t="s">
        <v>415</v>
      </c>
      <c r="C372" s="4" t="s">
        <v>1382</v>
      </c>
      <c r="D372" s="4" t="s">
        <v>100</v>
      </c>
      <c r="E372" s="4" t="s">
        <v>244</v>
      </c>
      <c r="F372" s="4" t="s">
        <v>14</v>
      </c>
      <c r="G372" s="4" t="s">
        <v>18</v>
      </c>
      <c r="H372" s="4" t="s">
        <v>90</v>
      </c>
      <c r="I372" s="4">
        <v>2173</v>
      </c>
      <c r="J372" s="4">
        <v>2796</v>
      </c>
      <c r="K372" s="4">
        <v>4</v>
      </c>
      <c r="L372" s="4" t="b">
        <f>FALSE()</f>
        <v>0</v>
      </c>
    </row>
    <row r="373" spans="1:12" x14ac:dyDescent="0.2">
      <c r="A373" s="4" t="s">
        <v>1383</v>
      </c>
      <c r="B373" s="4" t="s">
        <v>505</v>
      </c>
      <c r="C373" s="4" t="s">
        <v>1384</v>
      </c>
      <c r="D373" s="4" t="s">
        <v>100</v>
      </c>
      <c r="E373" s="4" t="s">
        <v>405</v>
      </c>
      <c r="F373" s="4" t="s">
        <v>12</v>
      </c>
      <c r="G373" s="4" t="s">
        <v>23</v>
      </c>
      <c r="H373" s="4" t="s">
        <v>90</v>
      </c>
      <c r="I373" s="4">
        <v>1741</v>
      </c>
      <c r="J373" s="4">
        <v>4135</v>
      </c>
      <c r="K373" s="4">
        <v>5</v>
      </c>
      <c r="L373" s="4" t="b">
        <f>FALSE()</f>
        <v>0</v>
      </c>
    </row>
    <row r="374" spans="1:12" x14ac:dyDescent="0.2">
      <c r="A374" s="4" t="s">
        <v>1385</v>
      </c>
      <c r="B374" s="4" t="s">
        <v>1386</v>
      </c>
      <c r="C374" s="4" t="s">
        <v>1387</v>
      </c>
      <c r="D374" s="4" t="s">
        <v>88</v>
      </c>
      <c r="E374" s="4" t="s">
        <v>252</v>
      </c>
      <c r="F374" s="4" t="s">
        <v>9</v>
      </c>
      <c r="G374" s="4" t="s">
        <v>19</v>
      </c>
      <c r="H374" s="4" t="s">
        <v>125</v>
      </c>
      <c r="I374" s="4">
        <v>1543</v>
      </c>
      <c r="J374" s="4">
        <v>6193</v>
      </c>
      <c r="K374" s="4">
        <v>5</v>
      </c>
      <c r="L374" s="4" t="b">
        <f>FALSE()</f>
        <v>0</v>
      </c>
    </row>
    <row r="375" spans="1:12" x14ac:dyDescent="0.2">
      <c r="A375" s="4" t="s">
        <v>1388</v>
      </c>
      <c r="B375" s="4" t="s">
        <v>1389</v>
      </c>
      <c r="C375" s="4" t="s">
        <v>1390</v>
      </c>
      <c r="D375" s="4" t="s">
        <v>133</v>
      </c>
      <c r="E375" s="4" t="s">
        <v>1391</v>
      </c>
      <c r="F375" s="4" t="s">
        <v>11</v>
      </c>
      <c r="G375" s="4" t="s">
        <v>21</v>
      </c>
      <c r="H375" s="4" t="s">
        <v>107</v>
      </c>
      <c r="I375" s="4">
        <v>3114</v>
      </c>
      <c r="J375" s="4">
        <v>5082</v>
      </c>
      <c r="K375" s="4">
        <v>5</v>
      </c>
      <c r="L375" s="4" t="b">
        <f>FALSE()</f>
        <v>0</v>
      </c>
    </row>
    <row r="376" spans="1:12" x14ac:dyDescent="0.2">
      <c r="A376" s="4" t="s">
        <v>1392</v>
      </c>
      <c r="B376" s="4" t="s">
        <v>1393</v>
      </c>
      <c r="C376" s="4" t="s">
        <v>1394</v>
      </c>
      <c r="D376" s="4" t="s">
        <v>88</v>
      </c>
      <c r="E376" s="4" t="s">
        <v>372</v>
      </c>
      <c r="F376" s="4" t="s">
        <v>10</v>
      </c>
      <c r="G376" s="4" t="s">
        <v>22</v>
      </c>
      <c r="H376" s="4" t="s">
        <v>96</v>
      </c>
      <c r="I376" s="4">
        <v>1440</v>
      </c>
      <c r="J376" s="4">
        <v>6469</v>
      </c>
      <c r="K376" s="4">
        <v>4</v>
      </c>
      <c r="L376" s="4" t="b">
        <f>FALSE()</f>
        <v>0</v>
      </c>
    </row>
    <row r="377" spans="1:12" x14ac:dyDescent="0.2">
      <c r="A377" s="4" t="s">
        <v>1395</v>
      </c>
      <c r="B377" s="4" t="s">
        <v>1396</v>
      </c>
      <c r="C377" s="4" t="s">
        <v>1397</v>
      </c>
      <c r="D377" s="4" t="s">
        <v>88</v>
      </c>
      <c r="E377" s="4" t="s">
        <v>1398</v>
      </c>
      <c r="F377" s="4" t="s">
        <v>13</v>
      </c>
      <c r="G377" s="4" t="s">
        <v>23</v>
      </c>
      <c r="H377" s="4" t="s">
        <v>102</v>
      </c>
      <c r="I377" s="4">
        <v>1690</v>
      </c>
      <c r="J377" s="4">
        <v>3959</v>
      </c>
      <c r="K377" s="4">
        <v>1</v>
      </c>
      <c r="L377" s="4" t="b">
        <f>FALSE()</f>
        <v>0</v>
      </c>
    </row>
    <row r="378" spans="1:12" x14ac:dyDescent="0.2">
      <c r="A378" s="4" t="s">
        <v>1399</v>
      </c>
      <c r="B378" s="4" t="s">
        <v>1400</v>
      </c>
      <c r="C378" s="4" t="s">
        <v>1401</v>
      </c>
      <c r="D378" s="4" t="s">
        <v>133</v>
      </c>
      <c r="E378" s="4" t="s">
        <v>1402</v>
      </c>
      <c r="F378" s="4" t="s">
        <v>14</v>
      </c>
      <c r="G378" s="4" t="s">
        <v>18</v>
      </c>
      <c r="H378" s="4" t="s">
        <v>125</v>
      </c>
      <c r="I378" s="4">
        <v>1022</v>
      </c>
      <c r="J378" s="4">
        <v>4305</v>
      </c>
      <c r="K378" s="4">
        <v>5</v>
      </c>
      <c r="L378" s="4" t="b">
        <f>FALSE()</f>
        <v>0</v>
      </c>
    </row>
    <row r="379" spans="1:12" x14ac:dyDescent="0.2">
      <c r="A379" s="4" t="s">
        <v>1403</v>
      </c>
      <c r="B379" s="4" t="s">
        <v>1046</v>
      </c>
      <c r="C379" s="4" t="s">
        <v>1404</v>
      </c>
      <c r="D379" s="4" t="s">
        <v>111</v>
      </c>
      <c r="E379" s="4" t="s">
        <v>1405</v>
      </c>
      <c r="F379" s="4" t="s">
        <v>12</v>
      </c>
      <c r="G379" s="4" t="s">
        <v>21</v>
      </c>
      <c r="H379" s="4" t="s">
        <v>102</v>
      </c>
      <c r="I379" s="4">
        <v>1696</v>
      </c>
      <c r="J379" s="4">
        <v>4485</v>
      </c>
      <c r="K379" s="4">
        <v>4</v>
      </c>
      <c r="L379" s="4" t="b">
        <f>FALSE()</f>
        <v>0</v>
      </c>
    </row>
    <row r="380" spans="1:12" x14ac:dyDescent="0.2">
      <c r="A380" s="4" t="s">
        <v>1406</v>
      </c>
      <c r="B380" s="4" t="s">
        <v>1407</v>
      </c>
      <c r="C380" s="4" t="s">
        <v>1408</v>
      </c>
      <c r="D380" s="4" t="s">
        <v>100</v>
      </c>
      <c r="E380" s="4" t="s">
        <v>1409</v>
      </c>
      <c r="F380" s="4" t="s">
        <v>10</v>
      </c>
      <c r="G380" s="4" t="s">
        <v>18</v>
      </c>
      <c r="H380" s="4" t="s">
        <v>96</v>
      </c>
      <c r="I380" s="4">
        <v>2346</v>
      </c>
      <c r="J380" s="4">
        <v>4278</v>
      </c>
      <c r="K380" s="4">
        <v>5</v>
      </c>
      <c r="L380" s="4" t="b">
        <f>FALSE()</f>
        <v>0</v>
      </c>
    </row>
    <row r="381" spans="1:12" x14ac:dyDescent="0.2">
      <c r="A381" s="4" t="s">
        <v>1410</v>
      </c>
      <c r="B381" s="4" t="s">
        <v>571</v>
      </c>
      <c r="C381" s="4" t="s">
        <v>1411</v>
      </c>
      <c r="D381" s="4" t="s">
        <v>100</v>
      </c>
      <c r="E381" s="4" t="s">
        <v>1412</v>
      </c>
      <c r="F381" s="4" t="s">
        <v>14</v>
      </c>
      <c r="G381" s="4" t="s">
        <v>19</v>
      </c>
      <c r="H381" s="4" t="s">
        <v>125</v>
      </c>
      <c r="I381" s="4">
        <v>980</v>
      </c>
      <c r="J381" s="4">
        <v>5556</v>
      </c>
      <c r="K381" s="4">
        <v>4</v>
      </c>
      <c r="L381" s="4" t="b">
        <f>FALSE()</f>
        <v>0</v>
      </c>
    </row>
    <row r="382" spans="1:12" x14ac:dyDescent="0.2">
      <c r="A382" s="4" t="s">
        <v>1413</v>
      </c>
      <c r="B382" s="4" t="s">
        <v>1414</v>
      </c>
      <c r="C382" s="4" t="s">
        <v>1415</v>
      </c>
      <c r="D382" s="4" t="s">
        <v>111</v>
      </c>
      <c r="E382" s="4" t="s">
        <v>1416</v>
      </c>
      <c r="F382" s="4" t="s">
        <v>10</v>
      </c>
      <c r="G382" s="4" t="s">
        <v>23</v>
      </c>
      <c r="H382" s="4" t="s">
        <v>102</v>
      </c>
      <c r="I382" s="4">
        <v>785</v>
      </c>
      <c r="J382" s="4">
        <v>1091</v>
      </c>
      <c r="K382" s="4">
        <v>1</v>
      </c>
      <c r="L382" s="4" t="b">
        <f>FALSE()</f>
        <v>0</v>
      </c>
    </row>
    <row r="383" spans="1:12" x14ac:dyDescent="0.2">
      <c r="A383" s="4" t="s">
        <v>1417</v>
      </c>
      <c r="B383" s="4" t="s">
        <v>1418</v>
      </c>
      <c r="C383" s="4" t="s">
        <v>1419</v>
      </c>
      <c r="D383" s="4" t="s">
        <v>94</v>
      </c>
      <c r="E383" s="4" t="s">
        <v>186</v>
      </c>
      <c r="F383" s="4" t="s">
        <v>11</v>
      </c>
      <c r="G383" s="4" t="s">
        <v>23</v>
      </c>
      <c r="H383" s="4" t="s">
        <v>107</v>
      </c>
      <c r="I383" s="4">
        <v>1744</v>
      </c>
      <c r="J383" s="4">
        <v>1556</v>
      </c>
      <c r="K383" s="4">
        <v>4</v>
      </c>
      <c r="L383" s="4" t="b">
        <f>FALSE()</f>
        <v>0</v>
      </c>
    </row>
    <row r="384" spans="1:12" x14ac:dyDescent="0.2">
      <c r="A384" s="4" t="s">
        <v>1420</v>
      </c>
      <c r="B384" s="4" t="s">
        <v>1421</v>
      </c>
      <c r="C384" s="4" t="s">
        <v>1422</v>
      </c>
      <c r="D384" s="4" t="s">
        <v>88</v>
      </c>
      <c r="E384" s="4" t="s">
        <v>138</v>
      </c>
      <c r="F384" s="4" t="s">
        <v>13</v>
      </c>
      <c r="G384" s="4" t="s">
        <v>20</v>
      </c>
      <c r="H384" s="4" t="s">
        <v>102</v>
      </c>
      <c r="I384" s="4">
        <v>2197</v>
      </c>
      <c r="J384" s="4">
        <v>1617</v>
      </c>
      <c r="K384" s="4">
        <v>5</v>
      </c>
      <c r="L384" s="4" t="b">
        <f>FALSE()</f>
        <v>0</v>
      </c>
    </row>
    <row r="385" spans="1:12" x14ac:dyDescent="0.2">
      <c r="A385" s="4" t="s">
        <v>1423</v>
      </c>
      <c r="B385" s="4" t="s">
        <v>407</v>
      </c>
      <c r="C385" s="4" t="s">
        <v>1424</v>
      </c>
      <c r="D385" s="4" t="s">
        <v>111</v>
      </c>
      <c r="E385" s="4" t="s">
        <v>1425</v>
      </c>
      <c r="F385" s="4" t="s">
        <v>10</v>
      </c>
      <c r="G385" s="4" t="s">
        <v>20</v>
      </c>
      <c r="H385" s="4" t="s">
        <v>102</v>
      </c>
      <c r="I385" s="4">
        <v>1251</v>
      </c>
      <c r="J385" s="4">
        <v>568</v>
      </c>
      <c r="K385" s="4">
        <v>5</v>
      </c>
      <c r="L385" s="4" t="b">
        <f>FALSE()</f>
        <v>0</v>
      </c>
    </row>
    <row r="386" spans="1:12" x14ac:dyDescent="0.2">
      <c r="A386" s="4" t="s">
        <v>1426</v>
      </c>
      <c r="B386" s="4" t="s">
        <v>1427</v>
      </c>
      <c r="C386" s="4" t="s">
        <v>1428</v>
      </c>
      <c r="D386" s="4" t="s">
        <v>133</v>
      </c>
      <c r="E386" s="4" t="s">
        <v>1429</v>
      </c>
      <c r="F386" s="4" t="s">
        <v>13</v>
      </c>
      <c r="G386" s="4" t="s">
        <v>21</v>
      </c>
      <c r="H386" s="4" t="s">
        <v>125</v>
      </c>
      <c r="I386" s="4">
        <v>1868</v>
      </c>
      <c r="J386" s="4">
        <v>6085</v>
      </c>
      <c r="K386" s="4">
        <v>1</v>
      </c>
      <c r="L386" s="4" t="b">
        <f>FALSE()</f>
        <v>0</v>
      </c>
    </row>
    <row r="387" spans="1:12" x14ac:dyDescent="0.2">
      <c r="A387" s="4" t="s">
        <v>1430</v>
      </c>
      <c r="B387" s="4" t="s">
        <v>1431</v>
      </c>
      <c r="C387" s="4" t="s">
        <v>1432</v>
      </c>
      <c r="D387" s="4" t="s">
        <v>137</v>
      </c>
      <c r="E387" s="4" t="s">
        <v>1433</v>
      </c>
      <c r="F387" s="4" t="s">
        <v>12</v>
      </c>
      <c r="G387" s="4" t="s">
        <v>19</v>
      </c>
      <c r="H387" s="4" t="s">
        <v>150</v>
      </c>
      <c r="I387" s="4">
        <v>962</v>
      </c>
      <c r="J387" s="4">
        <v>2142</v>
      </c>
      <c r="K387" s="4">
        <v>5</v>
      </c>
      <c r="L387" s="4" t="b">
        <f>FALSE()</f>
        <v>0</v>
      </c>
    </row>
    <row r="388" spans="1:12" x14ac:dyDescent="0.2">
      <c r="A388" s="4" t="s">
        <v>1434</v>
      </c>
      <c r="B388" s="4" t="s">
        <v>1435</v>
      </c>
      <c r="C388" s="4" t="s">
        <v>1436</v>
      </c>
      <c r="D388" s="4" t="s">
        <v>88</v>
      </c>
      <c r="E388" s="4" t="s">
        <v>202</v>
      </c>
      <c r="F388" s="4" t="s">
        <v>11</v>
      </c>
      <c r="G388" s="4" t="s">
        <v>20</v>
      </c>
      <c r="H388" s="4" t="s">
        <v>150</v>
      </c>
      <c r="I388" s="4">
        <v>1915</v>
      </c>
      <c r="J388" s="4">
        <v>1100</v>
      </c>
      <c r="K388" s="4">
        <v>5</v>
      </c>
      <c r="L388" s="4" t="b">
        <f>FALSE()</f>
        <v>0</v>
      </c>
    </row>
    <row r="389" spans="1:12" x14ac:dyDescent="0.2">
      <c r="A389" s="4" t="s">
        <v>1437</v>
      </c>
      <c r="B389" s="4" t="s">
        <v>1438</v>
      </c>
      <c r="C389" s="4" t="s">
        <v>1439</v>
      </c>
      <c r="D389" s="4" t="s">
        <v>88</v>
      </c>
      <c r="E389" s="4" t="s">
        <v>1221</v>
      </c>
      <c r="F389" s="4" t="s">
        <v>11</v>
      </c>
      <c r="G389" s="4" t="s">
        <v>21</v>
      </c>
      <c r="H389" s="4" t="s">
        <v>125</v>
      </c>
      <c r="I389" s="4">
        <v>2308</v>
      </c>
      <c r="J389" s="4">
        <v>6057</v>
      </c>
      <c r="K389" s="4">
        <v>4</v>
      </c>
      <c r="L389" s="4" t="b">
        <f>FALSE()</f>
        <v>0</v>
      </c>
    </row>
    <row r="390" spans="1:12" x14ac:dyDescent="0.2">
      <c r="A390" s="4" t="s">
        <v>1440</v>
      </c>
      <c r="B390" s="4" t="s">
        <v>196</v>
      </c>
      <c r="C390" s="4" t="s">
        <v>1441</v>
      </c>
      <c r="D390" s="4" t="s">
        <v>133</v>
      </c>
      <c r="E390" s="4" t="s">
        <v>947</v>
      </c>
      <c r="F390" s="4" t="s">
        <v>11</v>
      </c>
      <c r="G390" s="4" t="s">
        <v>21</v>
      </c>
      <c r="H390" s="4" t="s">
        <v>150</v>
      </c>
      <c r="I390" s="4">
        <v>4166</v>
      </c>
      <c r="J390" s="4">
        <v>1007</v>
      </c>
      <c r="K390" s="4">
        <v>4</v>
      </c>
      <c r="L390" s="4" t="b">
        <f>FALSE()</f>
        <v>0</v>
      </c>
    </row>
    <row r="391" spans="1:12" x14ac:dyDescent="0.2">
      <c r="A391" s="4" t="s">
        <v>1442</v>
      </c>
      <c r="B391" s="4" t="s">
        <v>1443</v>
      </c>
      <c r="C391" s="4" t="s">
        <v>1444</v>
      </c>
      <c r="D391" s="4" t="s">
        <v>88</v>
      </c>
      <c r="E391" s="4" t="s">
        <v>1445</v>
      </c>
      <c r="F391" s="4" t="s">
        <v>14</v>
      </c>
      <c r="G391" s="4" t="s">
        <v>20</v>
      </c>
      <c r="H391" s="4" t="s">
        <v>150</v>
      </c>
      <c r="I391" s="4">
        <v>882</v>
      </c>
      <c r="J391" s="4">
        <v>3668</v>
      </c>
      <c r="K391" s="4">
        <v>5</v>
      </c>
      <c r="L391" s="4" t="b">
        <f>FALSE()</f>
        <v>0</v>
      </c>
    </row>
    <row r="392" spans="1:12" x14ac:dyDescent="0.2">
      <c r="A392" s="4" t="s">
        <v>1446</v>
      </c>
      <c r="B392" s="4" t="s">
        <v>958</v>
      </c>
      <c r="C392" s="4" t="s">
        <v>1447</v>
      </c>
      <c r="D392" s="4" t="s">
        <v>94</v>
      </c>
      <c r="E392" s="4" t="s">
        <v>218</v>
      </c>
      <c r="F392" s="4" t="s">
        <v>14</v>
      </c>
      <c r="G392" s="4" t="s">
        <v>24</v>
      </c>
      <c r="H392" s="4" t="s">
        <v>96</v>
      </c>
      <c r="I392" s="4">
        <v>1098</v>
      </c>
      <c r="J392" s="4">
        <v>2976</v>
      </c>
      <c r="K392" s="4">
        <v>5</v>
      </c>
      <c r="L392" s="4" t="b">
        <f>FALSE()</f>
        <v>0</v>
      </c>
    </row>
    <row r="393" spans="1:12" x14ac:dyDescent="0.2">
      <c r="A393" s="4" t="s">
        <v>1448</v>
      </c>
      <c r="B393" s="4" t="s">
        <v>1449</v>
      </c>
      <c r="C393" s="4" t="s">
        <v>1450</v>
      </c>
      <c r="D393" s="4" t="s">
        <v>133</v>
      </c>
      <c r="E393" s="4" t="s">
        <v>1451</v>
      </c>
      <c r="F393" s="4" t="s">
        <v>13</v>
      </c>
      <c r="G393" s="4" t="s">
        <v>23</v>
      </c>
      <c r="H393" s="4" t="s">
        <v>96</v>
      </c>
      <c r="I393" s="4">
        <v>1475</v>
      </c>
      <c r="J393" s="4">
        <v>578</v>
      </c>
      <c r="K393" s="4">
        <v>5</v>
      </c>
      <c r="L393" s="4" t="b">
        <f>FALSE()</f>
        <v>0</v>
      </c>
    </row>
    <row r="394" spans="1:12" x14ac:dyDescent="0.2">
      <c r="A394" s="4" t="s">
        <v>1452</v>
      </c>
      <c r="B394" s="4" t="s">
        <v>1092</v>
      </c>
      <c r="C394" s="4" t="s">
        <v>1453</v>
      </c>
      <c r="D394" s="4" t="s">
        <v>100</v>
      </c>
      <c r="E394" s="4" t="s">
        <v>1454</v>
      </c>
      <c r="F394" s="4" t="s">
        <v>14</v>
      </c>
      <c r="G394" s="4" t="s">
        <v>24</v>
      </c>
      <c r="H394" s="4" t="s">
        <v>125</v>
      </c>
      <c r="I394" s="4">
        <v>2210</v>
      </c>
      <c r="J394" s="4">
        <v>2632</v>
      </c>
      <c r="K394" s="4">
        <v>5</v>
      </c>
      <c r="L394" s="4" t="b">
        <f>FALSE()</f>
        <v>0</v>
      </c>
    </row>
    <row r="395" spans="1:12" x14ac:dyDescent="0.2">
      <c r="A395" s="4" t="s">
        <v>1455</v>
      </c>
      <c r="B395" s="4" t="s">
        <v>1456</v>
      </c>
      <c r="C395" s="4" t="s">
        <v>1457</v>
      </c>
      <c r="D395" s="4" t="s">
        <v>88</v>
      </c>
      <c r="E395" s="4" t="s">
        <v>1458</v>
      </c>
      <c r="F395" s="4" t="s">
        <v>10</v>
      </c>
      <c r="G395" s="4" t="s">
        <v>18</v>
      </c>
      <c r="H395" s="4" t="s">
        <v>150</v>
      </c>
      <c r="I395" s="4">
        <v>911</v>
      </c>
      <c r="J395" s="4">
        <v>996</v>
      </c>
      <c r="K395" s="4">
        <v>5</v>
      </c>
      <c r="L395" s="4" t="b">
        <f>FALSE()</f>
        <v>0</v>
      </c>
    </row>
    <row r="396" spans="1:12" x14ac:dyDescent="0.2">
      <c r="A396" s="4" t="s">
        <v>1459</v>
      </c>
      <c r="B396" s="4" t="s">
        <v>1460</v>
      </c>
      <c r="C396" s="4" t="s">
        <v>1461</v>
      </c>
      <c r="D396" s="4" t="s">
        <v>133</v>
      </c>
      <c r="E396" s="4" t="s">
        <v>1462</v>
      </c>
      <c r="F396" s="4" t="s">
        <v>12</v>
      </c>
      <c r="G396" s="4" t="s">
        <v>18</v>
      </c>
      <c r="H396" s="4" t="s">
        <v>125</v>
      </c>
      <c r="I396" s="4">
        <v>1019</v>
      </c>
      <c r="J396" s="4">
        <v>5602</v>
      </c>
      <c r="K396" s="4">
        <v>4</v>
      </c>
      <c r="L396" s="4" t="b">
        <f>FALSE()</f>
        <v>0</v>
      </c>
    </row>
    <row r="397" spans="1:12" x14ac:dyDescent="0.2">
      <c r="A397" s="4" t="s">
        <v>1463</v>
      </c>
      <c r="B397" s="4" t="s">
        <v>223</v>
      </c>
      <c r="C397" s="4" t="s">
        <v>1464</v>
      </c>
      <c r="D397" s="4" t="s">
        <v>100</v>
      </c>
      <c r="E397" s="4" t="s">
        <v>372</v>
      </c>
      <c r="F397" s="4" t="s">
        <v>14</v>
      </c>
      <c r="G397" s="4" t="s">
        <v>24</v>
      </c>
      <c r="H397" s="4" t="s">
        <v>125</v>
      </c>
      <c r="I397" s="4">
        <v>2652</v>
      </c>
      <c r="J397" s="4">
        <v>2045</v>
      </c>
      <c r="K397" s="4">
        <v>3</v>
      </c>
      <c r="L397" s="4" t="b">
        <f>FALSE()</f>
        <v>0</v>
      </c>
    </row>
    <row r="398" spans="1:12" x14ac:dyDescent="0.2">
      <c r="A398" s="4" t="s">
        <v>1465</v>
      </c>
      <c r="B398" s="4" t="s">
        <v>1466</v>
      </c>
      <c r="C398" s="4" t="s">
        <v>1467</v>
      </c>
      <c r="D398" s="4" t="s">
        <v>88</v>
      </c>
      <c r="E398" s="4" t="s">
        <v>1468</v>
      </c>
      <c r="F398" s="4" t="s">
        <v>12</v>
      </c>
      <c r="G398" s="4" t="s">
        <v>24</v>
      </c>
      <c r="H398" s="4" t="s">
        <v>150</v>
      </c>
      <c r="I398" s="4">
        <v>835</v>
      </c>
      <c r="J398" s="4">
        <v>5477</v>
      </c>
      <c r="K398" s="4">
        <v>5</v>
      </c>
      <c r="L398" s="4" t="b">
        <f>FALSE()</f>
        <v>0</v>
      </c>
    </row>
    <row r="399" spans="1:12" x14ac:dyDescent="0.2">
      <c r="A399" s="4" t="s">
        <v>1469</v>
      </c>
      <c r="B399" s="4" t="s">
        <v>1470</v>
      </c>
      <c r="C399" s="4" t="s">
        <v>1471</v>
      </c>
      <c r="D399" s="4" t="s">
        <v>94</v>
      </c>
      <c r="E399" s="4" t="s">
        <v>1472</v>
      </c>
      <c r="F399" s="4" t="s">
        <v>9</v>
      </c>
      <c r="G399" s="4" t="s">
        <v>23</v>
      </c>
      <c r="H399" s="4" t="s">
        <v>90</v>
      </c>
      <c r="I399" s="4">
        <v>1457</v>
      </c>
      <c r="J399" s="4">
        <v>2962</v>
      </c>
      <c r="K399" s="4">
        <v>3</v>
      </c>
      <c r="L399" s="4" t="b">
        <f>FALSE()</f>
        <v>0</v>
      </c>
    </row>
    <row r="400" spans="1:12" x14ac:dyDescent="0.2">
      <c r="A400" s="4" t="s">
        <v>1473</v>
      </c>
      <c r="B400" s="4" t="s">
        <v>1474</v>
      </c>
      <c r="C400" s="4" t="s">
        <v>1475</v>
      </c>
      <c r="D400" s="4" t="s">
        <v>137</v>
      </c>
      <c r="E400" s="4" t="s">
        <v>499</v>
      </c>
      <c r="F400" s="4" t="s">
        <v>14</v>
      </c>
      <c r="G400" s="4" t="s">
        <v>18</v>
      </c>
      <c r="H400" s="4" t="s">
        <v>96</v>
      </c>
      <c r="I400" s="4">
        <v>1856</v>
      </c>
      <c r="J400" s="4">
        <v>4078</v>
      </c>
      <c r="K400" s="4">
        <v>4</v>
      </c>
      <c r="L400" s="4" t="b">
        <f>FALSE()</f>
        <v>0</v>
      </c>
    </row>
    <row r="401" spans="1:12" x14ac:dyDescent="0.2">
      <c r="A401" s="4" t="s">
        <v>1476</v>
      </c>
      <c r="B401" s="4" t="s">
        <v>1477</v>
      </c>
      <c r="C401" s="4" t="s">
        <v>1478</v>
      </c>
      <c r="D401" s="4" t="s">
        <v>94</v>
      </c>
      <c r="E401" s="4" t="s">
        <v>1278</v>
      </c>
      <c r="F401" s="4" t="s">
        <v>9</v>
      </c>
      <c r="G401" s="4" t="s">
        <v>18</v>
      </c>
      <c r="H401" s="4" t="s">
        <v>107</v>
      </c>
      <c r="I401" s="4">
        <v>775</v>
      </c>
      <c r="J401" s="4">
        <v>3095</v>
      </c>
      <c r="K401" s="4">
        <v>4</v>
      </c>
      <c r="L401" s="4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3" width="13" customWidth="1"/>
    <col min="4" max="4" width="20" customWidth="1"/>
    <col min="5" max="5" width="31" customWidth="1"/>
    <col min="6" max="6" width="12" customWidth="1"/>
    <col min="7" max="7" width="18" customWidth="1"/>
    <col min="8" max="8" width="17" customWidth="1"/>
    <col min="9" max="9" width="24" customWidth="1"/>
    <col min="10" max="11" width="19" customWidth="1"/>
    <col min="12" max="12" width="33" customWidth="1"/>
  </cols>
  <sheetData>
    <row r="1" spans="1:12" x14ac:dyDescent="0.2">
      <c r="A1" s="8" t="s">
        <v>1479</v>
      </c>
      <c r="B1" s="8" t="s">
        <v>1480</v>
      </c>
      <c r="C1" s="8" t="s">
        <v>1481</v>
      </c>
      <c r="D1" s="8" t="s">
        <v>1482</v>
      </c>
      <c r="E1" s="8" t="s">
        <v>1483</v>
      </c>
      <c r="F1" s="8" t="s">
        <v>1484</v>
      </c>
      <c r="G1" s="8" t="s">
        <v>1485</v>
      </c>
      <c r="H1" s="8" t="s">
        <v>1486</v>
      </c>
      <c r="I1" s="8" t="s">
        <v>1487</v>
      </c>
      <c r="J1" s="8" t="s">
        <v>1488</v>
      </c>
      <c r="K1" s="8" t="s">
        <v>1489</v>
      </c>
      <c r="L1" s="8" t="s">
        <v>1490</v>
      </c>
    </row>
    <row r="2" spans="1:12" x14ac:dyDescent="0.2">
      <c r="A2" s="4" t="s">
        <v>1491</v>
      </c>
      <c r="B2" s="4" t="s">
        <v>1492</v>
      </c>
      <c r="C2" s="4" t="s">
        <v>35</v>
      </c>
      <c r="D2" s="4" t="s">
        <v>1493</v>
      </c>
      <c r="E2" s="4" t="s">
        <v>1494</v>
      </c>
      <c r="F2" s="4" t="s">
        <v>1495</v>
      </c>
      <c r="G2" s="4" t="s">
        <v>1496</v>
      </c>
      <c r="H2" s="4" t="s">
        <v>1496</v>
      </c>
      <c r="I2" s="4" t="s">
        <v>40</v>
      </c>
      <c r="J2" s="4">
        <v>525</v>
      </c>
      <c r="K2" s="4">
        <v>511</v>
      </c>
      <c r="L2" s="4" t="s">
        <v>1497</v>
      </c>
    </row>
    <row r="3" spans="1:12" x14ac:dyDescent="0.2">
      <c r="A3" s="4" t="s">
        <v>1498</v>
      </c>
      <c r="B3" s="4" t="s">
        <v>1499</v>
      </c>
      <c r="C3" s="4" t="s">
        <v>34</v>
      </c>
      <c r="D3" s="4" t="s">
        <v>1500</v>
      </c>
      <c r="E3" s="4" t="s">
        <v>1501</v>
      </c>
      <c r="F3" s="4" t="s">
        <v>1502</v>
      </c>
      <c r="G3" s="4" t="s">
        <v>1503</v>
      </c>
      <c r="H3" s="4" t="s">
        <v>1503</v>
      </c>
      <c r="I3" s="4" t="s">
        <v>40</v>
      </c>
      <c r="J3" s="4">
        <v>333</v>
      </c>
      <c r="K3" s="4">
        <v>293</v>
      </c>
      <c r="L3" s="4" t="s">
        <v>1504</v>
      </c>
    </row>
    <row r="4" spans="1:12" x14ac:dyDescent="0.2">
      <c r="A4" s="4" t="s">
        <v>1505</v>
      </c>
      <c r="B4" s="4" t="s">
        <v>1506</v>
      </c>
      <c r="C4" s="4" t="s">
        <v>33</v>
      </c>
      <c r="D4" s="4" t="s">
        <v>1507</v>
      </c>
      <c r="E4" s="4" t="s">
        <v>1501</v>
      </c>
      <c r="F4" s="4" t="s">
        <v>1508</v>
      </c>
      <c r="G4" s="4" t="s">
        <v>1509</v>
      </c>
      <c r="H4" s="4" t="s">
        <v>1510</v>
      </c>
      <c r="I4" s="4" t="s">
        <v>43</v>
      </c>
      <c r="J4" s="4">
        <v>44</v>
      </c>
      <c r="K4" s="4">
        <v>23</v>
      </c>
      <c r="L4" s="4" t="s">
        <v>1497</v>
      </c>
    </row>
    <row r="5" spans="1:12" x14ac:dyDescent="0.2">
      <c r="A5" s="4" t="s">
        <v>1511</v>
      </c>
      <c r="B5" s="4" t="s">
        <v>1512</v>
      </c>
      <c r="C5" s="4" t="s">
        <v>33</v>
      </c>
      <c r="D5" s="4" t="s">
        <v>1513</v>
      </c>
      <c r="E5" s="4" t="s">
        <v>1494</v>
      </c>
      <c r="F5" s="4" t="s">
        <v>1514</v>
      </c>
      <c r="G5" s="4" t="s">
        <v>1515</v>
      </c>
      <c r="H5" s="4" t="s">
        <v>1515</v>
      </c>
      <c r="I5" s="4" t="s">
        <v>40</v>
      </c>
      <c r="J5" s="4">
        <v>596</v>
      </c>
      <c r="K5" s="4">
        <v>521</v>
      </c>
      <c r="L5" s="4" t="s">
        <v>1516</v>
      </c>
    </row>
    <row r="6" spans="1:12" x14ac:dyDescent="0.2">
      <c r="A6" s="4" t="s">
        <v>1517</v>
      </c>
      <c r="B6" s="4" t="s">
        <v>1518</v>
      </c>
      <c r="C6" s="4" t="s">
        <v>34</v>
      </c>
      <c r="D6" s="4" t="s">
        <v>1493</v>
      </c>
      <c r="E6" s="4" t="s">
        <v>1494</v>
      </c>
      <c r="F6" s="4" t="s">
        <v>1519</v>
      </c>
      <c r="G6" s="4" t="s">
        <v>1520</v>
      </c>
      <c r="H6" s="4"/>
      <c r="I6" s="4" t="s">
        <v>39</v>
      </c>
      <c r="J6" s="4">
        <v>42</v>
      </c>
      <c r="K6" s="4">
        <v>31</v>
      </c>
      <c r="L6" s="4" t="s">
        <v>1521</v>
      </c>
    </row>
    <row r="7" spans="1:12" x14ac:dyDescent="0.2">
      <c r="A7" s="4" t="s">
        <v>1522</v>
      </c>
      <c r="B7" s="4" t="s">
        <v>1518</v>
      </c>
      <c r="C7" s="4" t="s">
        <v>34</v>
      </c>
      <c r="D7" s="4" t="s">
        <v>1493</v>
      </c>
      <c r="E7" s="4" t="s">
        <v>1494</v>
      </c>
      <c r="F7" s="4" t="s">
        <v>1523</v>
      </c>
      <c r="G7" s="4" t="s">
        <v>1524</v>
      </c>
      <c r="H7" s="4"/>
      <c r="I7" s="4" t="s">
        <v>41</v>
      </c>
      <c r="J7" s="4">
        <v>481</v>
      </c>
      <c r="K7" s="4">
        <v>391</v>
      </c>
      <c r="L7" s="4" t="s">
        <v>1516</v>
      </c>
    </row>
    <row r="8" spans="1:12" x14ac:dyDescent="0.2">
      <c r="A8" s="4" t="s">
        <v>1525</v>
      </c>
      <c r="B8" s="4" t="s">
        <v>1526</v>
      </c>
      <c r="C8" s="4" t="s">
        <v>34</v>
      </c>
      <c r="D8" s="4" t="s">
        <v>1513</v>
      </c>
      <c r="E8" s="4" t="s">
        <v>1527</v>
      </c>
      <c r="F8" s="4" t="s">
        <v>1528</v>
      </c>
      <c r="G8" s="4" t="s">
        <v>1529</v>
      </c>
      <c r="H8" s="4" t="s">
        <v>1529</v>
      </c>
      <c r="I8" s="4" t="s">
        <v>40</v>
      </c>
      <c r="J8" s="4">
        <v>519</v>
      </c>
      <c r="K8" s="4">
        <v>493</v>
      </c>
      <c r="L8" s="4" t="s">
        <v>1530</v>
      </c>
    </row>
    <row r="9" spans="1:12" x14ac:dyDescent="0.2">
      <c r="A9" s="4" t="s">
        <v>1531</v>
      </c>
      <c r="B9" s="4" t="s">
        <v>1532</v>
      </c>
      <c r="C9" s="4" t="s">
        <v>33</v>
      </c>
      <c r="D9" s="4" t="s">
        <v>1500</v>
      </c>
      <c r="E9" s="4" t="s">
        <v>1527</v>
      </c>
      <c r="F9" s="4" t="s">
        <v>1533</v>
      </c>
      <c r="G9" s="4" t="s">
        <v>1534</v>
      </c>
      <c r="H9" s="4"/>
      <c r="I9" s="4" t="s">
        <v>41</v>
      </c>
      <c r="J9" s="4">
        <v>105</v>
      </c>
      <c r="K9" s="4">
        <v>43</v>
      </c>
      <c r="L9" s="4" t="s">
        <v>1516</v>
      </c>
    </row>
    <row r="10" spans="1:12" x14ac:dyDescent="0.2">
      <c r="A10" s="4" t="s">
        <v>1535</v>
      </c>
      <c r="B10" s="4" t="s">
        <v>1532</v>
      </c>
      <c r="C10" s="4" t="s">
        <v>33</v>
      </c>
      <c r="D10" s="4" t="s">
        <v>1500</v>
      </c>
      <c r="E10" s="4" t="s">
        <v>1527</v>
      </c>
      <c r="F10" s="4" t="s">
        <v>1536</v>
      </c>
      <c r="G10" s="4" t="s">
        <v>1537</v>
      </c>
      <c r="H10" s="4" t="s">
        <v>1537</v>
      </c>
      <c r="I10" s="4" t="s">
        <v>40</v>
      </c>
      <c r="J10" s="4">
        <v>341</v>
      </c>
      <c r="K10" s="4">
        <v>356</v>
      </c>
      <c r="L10" s="4" t="s">
        <v>1538</v>
      </c>
    </row>
    <row r="11" spans="1:12" x14ac:dyDescent="0.2">
      <c r="A11" s="4" t="s">
        <v>1539</v>
      </c>
      <c r="B11" s="4" t="s">
        <v>1540</v>
      </c>
      <c r="C11" s="4" t="s">
        <v>34</v>
      </c>
      <c r="D11" s="4" t="s">
        <v>1541</v>
      </c>
      <c r="E11" s="4" t="s">
        <v>1501</v>
      </c>
      <c r="F11" s="4" t="s">
        <v>1542</v>
      </c>
      <c r="G11" s="4" t="s">
        <v>1543</v>
      </c>
      <c r="H11" s="4" t="s">
        <v>1543</v>
      </c>
      <c r="I11" s="4" t="s">
        <v>40</v>
      </c>
      <c r="J11" s="4">
        <v>456</v>
      </c>
      <c r="K11" s="4">
        <v>411</v>
      </c>
      <c r="L11" s="4" t="s">
        <v>1544</v>
      </c>
    </row>
    <row r="12" spans="1:12" x14ac:dyDescent="0.2">
      <c r="A12" s="4" t="s">
        <v>1545</v>
      </c>
      <c r="B12" s="4" t="s">
        <v>1546</v>
      </c>
      <c r="C12" s="4" t="s">
        <v>34</v>
      </c>
      <c r="D12" s="4" t="s">
        <v>1500</v>
      </c>
      <c r="E12" s="4" t="s">
        <v>1547</v>
      </c>
      <c r="F12" s="4" t="s">
        <v>1548</v>
      </c>
      <c r="G12" s="4" t="s">
        <v>1549</v>
      </c>
      <c r="H12" s="4" t="s">
        <v>1549</v>
      </c>
      <c r="I12" s="4" t="s">
        <v>40</v>
      </c>
      <c r="J12" s="4">
        <v>334</v>
      </c>
      <c r="K12" s="4">
        <v>319</v>
      </c>
      <c r="L12" s="4" t="s">
        <v>1497</v>
      </c>
    </row>
    <row r="13" spans="1:12" x14ac:dyDescent="0.2">
      <c r="A13" s="4" t="s">
        <v>1550</v>
      </c>
      <c r="B13" s="4" t="s">
        <v>1546</v>
      </c>
      <c r="C13" s="4" t="s">
        <v>34</v>
      </c>
      <c r="D13" s="4" t="s">
        <v>1500</v>
      </c>
      <c r="E13" s="4" t="s">
        <v>1527</v>
      </c>
      <c r="F13" s="4" t="s">
        <v>1551</v>
      </c>
      <c r="G13" s="4" t="s">
        <v>1552</v>
      </c>
      <c r="H13" s="4" t="s">
        <v>1552</v>
      </c>
      <c r="I13" s="4" t="s">
        <v>40</v>
      </c>
      <c r="J13" s="4">
        <v>91</v>
      </c>
      <c r="K13" s="4">
        <v>79</v>
      </c>
      <c r="L13" s="4" t="s">
        <v>1538</v>
      </c>
    </row>
    <row r="14" spans="1:12" x14ac:dyDescent="0.2">
      <c r="A14" s="4" t="s">
        <v>1553</v>
      </c>
      <c r="B14" s="4" t="s">
        <v>1554</v>
      </c>
      <c r="C14" s="4" t="s">
        <v>33</v>
      </c>
      <c r="D14" s="4" t="s">
        <v>1493</v>
      </c>
      <c r="E14" s="4" t="s">
        <v>1501</v>
      </c>
      <c r="F14" s="4" t="s">
        <v>1555</v>
      </c>
      <c r="G14" s="4" t="s">
        <v>1556</v>
      </c>
      <c r="H14" s="4" t="s">
        <v>1556</v>
      </c>
      <c r="I14" s="4" t="s">
        <v>40</v>
      </c>
      <c r="J14" s="4">
        <v>113</v>
      </c>
      <c r="K14" s="4">
        <v>108</v>
      </c>
      <c r="L14" s="4" t="s">
        <v>1538</v>
      </c>
    </row>
    <row r="15" spans="1:12" x14ac:dyDescent="0.2">
      <c r="A15" s="4" t="s">
        <v>1557</v>
      </c>
      <c r="B15" s="4" t="s">
        <v>1558</v>
      </c>
      <c r="C15" s="4" t="s">
        <v>34</v>
      </c>
      <c r="D15" s="4" t="s">
        <v>1500</v>
      </c>
      <c r="E15" s="4" t="s">
        <v>1501</v>
      </c>
      <c r="F15" s="4" t="s">
        <v>1559</v>
      </c>
      <c r="G15" s="4" t="s">
        <v>1560</v>
      </c>
      <c r="H15" s="4"/>
      <c r="I15" s="4" t="s">
        <v>42</v>
      </c>
      <c r="J15" s="4">
        <v>106</v>
      </c>
      <c r="K15" s="4">
        <v>48</v>
      </c>
      <c r="L15" s="4" t="s">
        <v>1561</v>
      </c>
    </row>
    <row r="16" spans="1:12" x14ac:dyDescent="0.2">
      <c r="A16" s="4" t="s">
        <v>1562</v>
      </c>
      <c r="B16" s="4" t="s">
        <v>1563</v>
      </c>
      <c r="C16" s="4" t="s">
        <v>35</v>
      </c>
      <c r="D16" s="4" t="s">
        <v>1493</v>
      </c>
      <c r="E16" s="4" t="s">
        <v>1494</v>
      </c>
      <c r="F16" s="4" t="s">
        <v>1564</v>
      </c>
      <c r="G16" s="4" t="s">
        <v>1565</v>
      </c>
      <c r="H16" s="4" t="s">
        <v>1565</v>
      </c>
      <c r="I16" s="4" t="s">
        <v>40</v>
      </c>
      <c r="J16" s="4">
        <v>511</v>
      </c>
      <c r="K16" s="4">
        <v>529</v>
      </c>
      <c r="L16" s="4" t="s">
        <v>1561</v>
      </c>
    </row>
    <row r="17" spans="1:12" x14ac:dyDescent="0.2">
      <c r="A17" s="4" t="s">
        <v>1566</v>
      </c>
      <c r="B17" s="4" t="s">
        <v>1563</v>
      </c>
      <c r="C17" s="4" t="s">
        <v>35</v>
      </c>
      <c r="D17" s="4" t="s">
        <v>1493</v>
      </c>
      <c r="E17" s="4" t="s">
        <v>1494</v>
      </c>
      <c r="F17" s="4" t="s">
        <v>1567</v>
      </c>
      <c r="G17" s="4" t="s">
        <v>1568</v>
      </c>
      <c r="H17" s="4"/>
      <c r="I17" s="4" t="s">
        <v>41</v>
      </c>
      <c r="J17" s="4">
        <v>325</v>
      </c>
      <c r="K17" s="4">
        <v>293</v>
      </c>
      <c r="L17" s="4" t="s">
        <v>1521</v>
      </c>
    </row>
    <row r="18" spans="1:12" x14ac:dyDescent="0.2">
      <c r="A18" s="4" t="s">
        <v>1569</v>
      </c>
      <c r="B18" s="4" t="s">
        <v>1570</v>
      </c>
      <c r="C18" s="4" t="s">
        <v>36</v>
      </c>
      <c r="D18" s="4" t="s">
        <v>1507</v>
      </c>
      <c r="E18" s="4" t="s">
        <v>1501</v>
      </c>
      <c r="F18" s="4" t="s">
        <v>1571</v>
      </c>
      <c r="G18" s="4" t="s">
        <v>1560</v>
      </c>
      <c r="H18" s="4" t="s">
        <v>1560</v>
      </c>
      <c r="I18" s="4" t="s">
        <v>40</v>
      </c>
      <c r="J18" s="4">
        <v>269</v>
      </c>
      <c r="K18" s="4">
        <v>232</v>
      </c>
      <c r="L18" s="4" t="s">
        <v>1544</v>
      </c>
    </row>
    <row r="19" spans="1:12" x14ac:dyDescent="0.2">
      <c r="A19" s="4" t="s">
        <v>1572</v>
      </c>
      <c r="B19" s="4" t="s">
        <v>1573</v>
      </c>
      <c r="C19" s="4" t="s">
        <v>34</v>
      </c>
      <c r="D19" s="4" t="s">
        <v>1513</v>
      </c>
      <c r="E19" s="4" t="s">
        <v>1501</v>
      </c>
      <c r="F19" s="4" t="s">
        <v>1574</v>
      </c>
      <c r="G19" s="4" t="s">
        <v>1575</v>
      </c>
      <c r="H19" s="4"/>
      <c r="I19" s="4" t="s">
        <v>39</v>
      </c>
      <c r="J19" s="4">
        <v>260</v>
      </c>
      <c r="K19" s="4">
        <v>190</v>
      </c>
      <c r="L19" s="4" t="s">
        <v>1497</v>
      </c>
    </row>
    <row r="20" spans="1:12" x14ac:dyDescent="0.2">
      <c r="A20" s="4" t="s">
        <v>1576</v>
      </c>
      <c r="B20" s="4" t="s">
        <v>1577</v>
      </c>
      <c r="C20" s="4" t="s">
        <v>34</v>
      </c>
      <c r="D20" s="4" t="s">
        <v>1541</v>
      </c>
      <c r="E20" s="4" t="s">
        <v>1501</v>
      </c>
      <c r="F20" s="4" t="s">
        <v>1578</v>
      </c>
      <c r="G20" s="4" t="s">
        <v>1579</v>
      </c>
      <c r="H20" s="4"/>
      <c r="I20" s="4" t="s">
        <v>41</v>
      </c>
      <c r="J20" s="4">
        <v>91</v>
      </c>
      <c r="K20" s="4">
        <v>57</v>
      </c>
      <c r="L20" s="4" t="s">
        <v>1497</v>
      </c>
    </row>
    <row r="21" spans="1:12" x14ac:dyDescent="0.2">
      <c r="A21" s="4" t="s">
        <v>1580</v>
      </c>
      <c r="B21" s="4" t="s">
        <v>1581</v>
      </c>
      <c r="C21" s="4" t="s">
        <v>36</v>
      </c>
      <c r="D21" s="4" t="s">
        <v>1507</v>
      </c>
      <c r="E21" s="4" t="s">
        <v>1494</v>
      </c>
      <c r="F21" s="4" t="s">
        <v>1552</v>
      </c>
      <c r="G21" s="4" t="s">
        <v>1582</v>
      </c>
      <c r="H21" s="4"/>
      <c r="I21" s="4" t="s">
        <v>39</v>
      </c>
      <c r="J21" s="4">
        <v>157</v>
      </c>
      <c r="K21" s="4">
        <v>104</v>
      </c>
      <c r="L21" s="4" t="s">
        <v>1544</v>
      </c>
    </row>
    <row r="22" spans="1:12" x14ac:dyDescent="0.2">
      <c r="A22" s="4" t="s">
        <v>1583</v>
      </c>
      <c r="B22" s="4" t="s">
        <v>1584</v>
      </c>
      <c r="C22" s="4" t="s">
        <v>34</v>
      </c>
      <c r="D22" s="4" t="s">
        <v>1585</v>
      </c>
      <c r="E22" s="4" t="s">
        <v>1547</v>
      </c>
      <c r="F22" s="4" t="s">
        <v>1586</v>
      </c>
      <c r="G22" s="4" t="s">
        <v>1587</v>
      </c>
      <c r="H22" s="4"/>
      <c r="I22" s="4" t="s">
        <v>41</v>
      </c>
      <c r="J22" s="4">
        <v>582</v>
      </c>
      <c r="K22" s="4">
        <v>496</v>
      </c>
      <c r="L22" s="4" t="s">
        <v>1521</v>
      </c>
    </row>
    <row r="23" spans="1:12" x14ac:dyDescent="0.2">
      <c r="A23" s="4" t="s">
        <v>1588</v>
      </c>
      <c r="B23" s="4" t="s">
        <v>1589</v>
      </c>
      <c r="C23" s="4" t="s">
        <v>34</v>
      </c>
      <c r="D23" s="4" t="s">
        <v>1500</v>
      </c>
      <c r="E23" s="4" t="s">
        <v>1547</v>
      </c>
      <c r="F23" s="4" t="s">
        <v>1590</v>
      </c>
      <c r="G23" s="4" t="s">
        <v>1591</v>
      </c>
      <c r="H23" s="4"/>
      <c r="I23" s="4" t="s">
        <v>42</v>
      </c>
      <c r="J23" s="4">
        <v>70</v>
      </c>
      <c r="K23" s="4">
        <v>64</v>
      </c>
      <c r="L23" s="4" t="s">
        <v>1504</v>
      </c>
    </row>
    <row r="24" spans="1:12" x14ac:dyDescent="0.2">
      <c r="A24" s="4" t="s">
        <v>1592</v>
      </c>
      <c r="B24" s="4" t="s">
        <v>1593</v>
      </c>
      <c r="C24" s="4" t="s">
        <v>35</v>
      </c>
      <c r="D24" s="4" t="s">
        <v>1493</v>
      </c>
      <c r="E24" s="4" t="s">
        <v>1527</v>
      </c>
      <c r="F24" s="4" t="s">
        <v>1594</v>
      </c>
      <c r="G24" s="4" t="s">
        <v>1595</v>
      </c>
      <c r="H24" s="4" t="s">
        <v>1595</v>
      </c>
      <c r="I24" s="4" t="s">
        <v>40</v>
      </c>
      <c r="J24" s="4">
        <v>123</v>
      </c>
      <c r="K24" s="4">
        <v>107</v>
      </c>
      <c r="L24" s="4" t="s">
        <v>1497</v>
      </c>
    </row>
    <row r="25" spans="1:12" x14ac:dyDescent="0.2">
      <c r="A25" s="4" t="s">
        <v>1596</v>
      </c>
      <c r="B25" s="4" t="s">
        <v>1597</v>
      </c>
      <c r="C25" s="4" t="s">
        <v>36</v>
      </c>
      <c r="D25" s="4" t="s">
        <v>1513</v>
      </c>
      <c r="E25" s="4" t="s">
        <v>1494</v>
      </c>
      <c r="F25" s="4" t="s">
        <v>1598</v>
      </c>
      <c r="G25" s="4" t="s">
        <v>1599</v>
      </c>
      <c r="H25" s="4" t="s">
        <v>1599</v>
      </c>
      <c r="I25" s="4" t="s">
        <v>40</v>
      </c>
      <c r="J25" s="4">
        <v>511</v>
      </c>
      <c r="K25" s="4">
        <v>436</v>
      </c>
      <c r="L25" s="4" t="s">
        <v>1516</v>
      </c>
    </row>
    <row r="26" spans="1:12" x14ac:dyDescent="0.2">
      <c r="A26" s="4" t="s">
        <v>1600</v>
      </c>
      <c r="B26" s="4" t="s">
        <v>1601</v>
      </c>
      <c r="C26" s="4" t="s">
        <v>33</v>
      </c>
      <c r="D26" s="4" t="s">
        <v>1585</v>
      </c>
      <c r="E26" s="4" t="s">
        <v>1527</v>
      </c>
      <c r="F26" s="4" t="s">
        <v>1602</v>
      </c>
      <c r="G26" s="4" t="s">
        <v>1603</v>
      </c>
      <c r="H26" s="4"/>
      <c r="I26" s="4" t="s">
        <v>41</v>
      </c>
      <c r="J26" s="4">
        <v>533</v>
      </c>
      <c r="K26" s="4">
        <v>235</v>
      </c>
      <c r="L26" s="4" t="s">
        <v>1521</v>
      </c>
    </row>
    <row r="27" spans="1:12" x14ac:dyDescent="0.2">
      <c r="A27" s="4" t="s">
        <v>1604</v>
      </c>
      <c r="B27" s="4" t="s">
        <v>1601</v>
      </c>
      <c r="C27" s="4" t="s">
        <v>33</v>
      </c>
      <c r="D27" s="4" t="s">
        <v>1585</v>
      </c>
      <c r="E27" s="4" t="s">
        <v>1494</v>
      </c>
      <c r="F27" s="4" t="s">
        <v>1605</v>
      </c>
      <c r="G27" s="4" t="s">
        <v>1606</v>
      </c>
      <c r="H27" s="4"/>
      <c r="I27" s="4" t="s">
        <v>39</v>
      </c>
      <c r="J27" s="4">
        <v>448</v>
      </c>
      <c r="K27" s="4">
        <v>348</v>
      </c>
      <c r="L27" s="4" t="s">
        <v>1504</v>
      </c>
    </row>
    <row r="28" spans="1:12" x14ac:dyDescent="0.2">
      <c r="A28" s="4" t="s">
        <v>1607</v>
      </c>
      <c r="B28" s="4" t="s">
        <v>1608</v>
      </c>
      <c r="C28" s="4" t="s">
        <v>35</v>
      </c>
      <c r="D28" s="4" t="s">
        <v>1585</v>
      </c>
      <c r="E28" s="4" t="s">
        <v>1547</v>
      </c>
      <c r="F28" s="4" t="s">
        <v>1609</v>
      </c>
      <c r="G28" s="4" t="s">
        <v>1610</v>
      </c>
      <c r="H28" s="4" t="s">
        <v>1610</v>
      </c>
      <c r="I28" s="4" t="s">
        <v>40</v>
      </c>
      <c r="J28" s="4">
        <v>367</v>
      </c>
      <c r="K28" s="4">
        <v>344</v>
      </c>
      <c r="L28" s="4" t="s">
        <v>1521</v>
      </c>
    </row>
    <row r="29" spans="1:12" x14ac:dyDescent="0.2">
      <c r="A29" s="4" t="s">
        <v>1611</v>
      </c>
      <c r="B29" s="4" t="s">
        <v>1612</v>
      </c>
      <c r="C29" s="4" t="s">
        <v>35</v>
      </c>
      <c r="D29" s="4" t="s">
        <v>1493</v>
      </c>
      <c r="E29" s="4" t="s">
        <v>1547</v>
      </c>
      <c r="F29" s="4" t="s">
        <v>1613</v>
      </c>
      <c r="G29" s="4" t="s">
        <v>1614</v>
      </c>
      <c r="H29" s="4"/>
      <c r="I29" s="4" t="s">
        <v>39</v>
      </c>
      <c r="J29" s="4">
        <v>440</v>
      </c>
      <c r="K29" s="4">
        <v>417</v>
      </c>
      <c r="L29" s="4" t="s">
        <v>1530</v>
      </c>
    </row>
    <row r="30" spans="1:12" x14ac:dyDescent="0.2">
      <c r="A30" s="4" t="s">
        <v>1615</v>
      </c>
      <c r="B30" s="4" t="s">
        <v>1616</v>
      </c>
      <c r="C30" s="4" t="s">
        <v>33</v>
      </c>
      <c r="D30" s="4" t="s">
        <v>1500</v>
      </c>
      <c r="E30" s="4" t="s">
        <v>1527</v>
      </c>
      <c r="F30" s="4" t="s">
        <v>1617</v>
      </c>
      <c r="G30" s="4" t="s">
        <v>1618</v>
      </c>
      <c r="H30" s="4"/>
      <c r="I30" s="4" t="s">
        <v>39</v>
      </c>
      <c r="J30" s="4">
        <v>361</v>
      </c>
      <c r="K30" s="4">
        <v>194</v>
      </c>
      <c r="L30" s="4" t="s">
        <v>1544</v>
      </c>
    </row>
    <row r="31" spans="1:12" x14ac:dyDescent="0.2">
      <c r="A31" s="4" t="s">
        <v>1619</v>
      </c>
      <c r="B31" s="4" t="s">
        <v>1620</v>
      </c>
      <c r="C31" s="4" t="s">
        <v>33</v>
      </c>
      <c r="D31" s="4" t="s">
        <v>1621</v>
      </c>
      <c r="E31" s="4" t="s">
        <v>1547</v>
      </c>
      <c r="F31" s="4" t="s">
        <v>1622</v>
      </c>
      <c r="G31" s="4" t="s">
        <v>1623</v>
      </c>
      <c r="H31" s="4"/>
      <c r="I31" s="4" t="s">
        <v>41</v>
      </c>
      <c r="J31" s="4">
        <v>585</v>
      </c>
      <c r="K31" s="4">
        <v>465</v>
      </c>
      <c r="L31" s="4" t="s">
        <v>1544</v>
      </c>
    </row>
    <row r="32" spans="1:12" x14ac:dyDescent="0.2">
      <c r="A32" s="4" t="s">
        <v>1624</v>
      </c>
      <c r="B32" s="4" t="s">
        <v>1625</v>
      </c>
      <c r="C32" s="4" t="s">
        <v>34</v>
      </c>
      <c r="D32" s="4" t="s">
        <v>1585</v>
      </c>
      <c r="E32" s="4" t="s">
        <v>1494</v>
      </c>
      <c r="F32" s="4" t="s">
        <v>1626</v>
      </c>
      <c r="G32" s="4" t="s">
        <v>1627</v>
      </c>
      <c r="H32" s="4" t="s">
        <v>1627</v>
      </c>
      <c r="I32" s="4" t="s">
        <v>40</v>
      </c>
      <c r="J32" s="4">
        <v>560</v>
      </c>
      <c r="K32" s="4">
        <v>500</v>
      </c>
      <c r="L32" s="4" t="s">
        <v>1521</v>
      </c>
    </row>
    <row r="33" spans="1:12" x14ac:dyDescent="0.2">
      <c r="A33" s="4" t="s">
        <v>1628</v>
      </c>
      <c r="B33" s="4" t="s">
        <v>1629</v>
      </c>
      <c r="C33" s="4" t="s">
        <v>34</v>
      </c>
      <c r="D33" s="4" t="s">
        <v>1585</v>
      </c>
      <c r="E33" s="4" t="s">
        <v>1494</v>
      </c>
      <c r="F33" s="4" t="s">
        <v>1630</v>
      </c>
      <c r="G33" s="4" t="s">
        <v>1631</v>
      </c>
      <c r="H33" s="4"/>
      <c r="I33" s="4" t="s">
        <v>41</v>
      </c>
      <c r="J33" s="4">
        <v>238</v>
      </c>
      <c r="K33" s="4">
        <v>169</v>
      </c>
      <c r="L33" s="4" t="s">
        <v>1516</v>
      </c>
    </row>
    <row r="34" spans="1:12" x14ac:dyDescent="0.2">
      <c r="A34" s="4" t="s">
        <v>1632</v>
      </c>
      <c r="B34" s="4" t="s">
        <v>1629</v>
      </c>
      <c r="C34" s="4" t="s">
        <v>34</v>
      </c>
      <c r="D34" s="4" t="s">
        <v>1585</v>
      </c>
      <c r="E34" s="4" t="s">
        <v>1547</v>
      </c>
      <c r="F34" s="4" t="s">
        <v>1633</v>
      </c>
      <c r="G34" s="4" t="s">
        <v>1634</v>
      </c>
      <c r="H34" s="4" t="s">
        <v>1634</v>
      </c>
      <c r="I34" s="4" t="s">
        <v>40</v>
      </c>
      <c r="J34" s="4">
        <v>478</v>
      </c>
      <c r="K34" s="4">
        <v>432</v>
      </c>
      <c r="L34" s="4" t="s">
        <v>1530</v>
      </c>
    </row>
    <row r="35" spans="1:12" x14ac:dyDescent="0.2">
      <c r="A35" s="4" t="s">
        <v>1635</v>
      </c>
      <c r="B35" s="4" t="s">
        <v>1636</v>
      </c>
      <c r="C35" s="4" t="s">
        <v>33</v>
      </c>
      <c r="D35" s="4" t="s">
        <v>1507</v>
      </c>
      <c r="E35" s="4" t="s">
        <v>1501</v>
      </c>
      <c r="F35" s="4" t="s">
        <v>1637</v>
      </c>
      <c r="G35" s="4" t="s">
        <v>1638</v>
      </c>
      <c r="H35" s="4"/>
      <c r="I35" s="4" t="s">
        <v>42</v>
      </c>
      <c r="J35" s="4">
        <v>275</v>
      </c>
      <c r="K35" s="4">
        <v>86</v>
      </c>
      <c r="L35" s="4" t="s">
        <v>1497</v>
      </c>
    </row>
    <row r="36" spans="1:12" x14ac:dyDescent="0.2">
      <c r="A36" s="4" t="s">
        <v>1639</v>
      </c>
      <c r="B36" s="4" t="s">
        <v>1640</v>
      </c>
      <c r="C36" s="4" t="s">
        <v>34</v>
      </c>
      <c r="D36" s="4" t="s">
        <v>1507</v>
      </c>
      <c r="E36" s="4" t="s">
        <v>1527</v>
      </c>
      <c r="F36" s="4" t="s">
        <v>1641</v>
      </c>
      <c r="G36" s="4" t="s">
        <v>1642</v>
      </c>
      <c r="H36" s="4"/>
      <c r="I36" s="4" t="s">
        <v>39</v>
      </c>
      <c r="J36" s="4">
        <v>447</v>
      </c>
      <c r="K36" s="4">
        <v>405</v>
      </c>
      <c r="L36" s="4" t="s">
        <v>1538</v>
      </c>
    </row>
    <row r="37" spans="1:12" x14ac:dyDescent="0.2">
      <c r="A37" s="4" t="s">
        <v>1643</v>
      </c>
      <c r="B37" s="4" t="s">
        <v>1644</v>
      </c>
      <c r="C37" s="4" t="s">
        <v>35</v>
      </c>
      <c r="D37" s="4" t="s">
        <v>1585</v>
      </c>
      <c r="E37" s="4" t="s">
        <v>1547</v>
      </c>
      <c r="F37" s="4" t="s">
        <v>1645</v>
      </c>
      <c r="G37" s="4" t="s">
        <v>1646</v>
      </c>
      <c r="H37" s="4"/>
      <c r="I37" s="4" t="s">
        <v>39</v>
      </c>
      <c r="J37" s="4">
        <v>150</v>
      </c>
      <c r="K37" s="4">
        <v>101</v>
      </c>
      <c r="L37" s="4" t="s">
        <v>1497</v>
      </c>
    </row>
    <row r="38" spans="1:12" x14ac:dyDescent="0.2">
      <c r="A38" s="4" t="s">
        <v>1647</v>
      </c>
      <c r="B38" s="4" t="s">
        <v>1648</v>
      </c>
      <c r="C38" s="4" t="s">
        <v>34</v>
      </c>
      <c r="D38" s="4" t="s">
        <v>1541</v>
      </c>
      <c r="E38" s="4" t="s">
        <v>1547</v>
      </c>
      <c r="F38" s="4" t="s">
        <v>1649</v>
      </c>
      <c r="G38" s="4" t="s">
        <v>1650</v>
      </c>
      <c r="H38" s="4"/>
      <c r="I38" s="4" t="s">
        <v>39</v>
      </c>
      <c r="J38" s="4">
        <v>524</v>
      </c>
      <c r="K38" s="4">
        <v>212</v>
      </c>
      <c r="L38" s="4" t="s">
        <v>1538</v>
      </c>
    </row>
    <row r="39" spans="1:12" x14ac:dyDescent="0.2">
      <c r="A39" s="4" t="s">
        <v>1651</v>
      </c>
      <c r="B39" s="4" t="s">
        <v>1652</v>
      </c>
      <c r="C39" s="4" t="s">
        <v>35</v>
      </c>
      <c r="D39" s="4" t="s">
        <v>1541</v>
      </c>
      <c r="E39" s="4" t="s">
        <v>1547</v>
      </c>
      <c r="F39" s="4" t="s">
        <v>1653</v>
      </c>
      <c r="G39" s="4" t="s">
        <v>1654</v>
      </c>
      <c r="H39" s="4"/>
      <c r="I39" s="4" t="s">
        <v>42</v>
      </c>
      <c r="J39" s="4">
        <v>178</v>
      </c>
      <c r="K39" s="4">
        <v>90</v>
      </c>
      <c r="L39" s="4" t="s">
        <v>1538</v>
      </c>
    </row>
    <row r="40" spans="1:12" x14ac:dyDescent="0.2">
      <c r="A40" s="4" t="s">
        <v>1655</v>
      </c>
      <c r="B40" s="4" t="s">
        <v>1652</v>
      </c>
      <c r="C40" s="4" t="s">
        <v>35</v>
      </c>
      <c r="D40" s="4" t="s">
        <v>1541</v>
      </c>
      <c r="E40" s="4" t="s">
        <v>1501</v>
      </c>
      <c r="F40" s="4" t="s">
        <v>1656</v>
      </c>
      <c r="G40" s="4" t="s">
        <v>1657</v>
      </c>
      <c r="H40" s="4" t="s">
        <v>1658</v>
      </c>
      <c r="I40" s="4" t="s">
        <v>43</v>
      </c>
      <c r="J40" s="4">
        <v>550</v>
      </c>
      <c r="K40" s="4">
        <v>118</v>
      </c>
      <c r="L40" s="4" t="s">
        <v>1530</v>
      </c>
    </row>
    <row r="41" spans="1:12" x14ac:dyDescent="0.2">
      <c r="A41" s="4" t="s">
        <v>1659</v>
      </c>
      <c r="B41" s="4" t="s">
        <v>1660</v>
      </c>
      <c r="C41" s="4" t="s">
        <v>34</v>
      </c>
      <c r="D41" s="4" t="s">
        <v>1500</v>
      </c>
      <c r="E41" s="4" t="s">
        <v>1494</v>
      </c>
      <c r="F41" s="4" t="s">
        <v>1495</v>
      </c>
      <c r="G41" s="4" t="s">
        <v>1661</v>
      </c>
      <c r="H41" s="4"/>
      <c r="I41" s="4" t="s">
        <v>41</v>
      </c>
      <c r="J41" s="4">
        <v>378</v>
      </c>
      <c r="K41" s="4">
        <v>260</v>
      </c>
      <c r="L41" s="4" t="s">
        <v>1561</v>
      </c>
    </row>
    <row r="42" spans="1:12" x14ac:dyDescent="0.2">
      <c r="A42" s="4" t="s">
        <v>1662</v>
      </c>
      <c r="B42" s="4" t="s">
        <v>1663</v>
      </c>
      <c r="C42" s="4" t="s">
        <v>33</v>
      </c>
      <c r="D42" s="4" t="s">
        <v>1493</v>
      </c>
      <c r="E42" s="4" t="s">
        <v>1501</v>
      </c>
      <c r="F42" s="4" t="s">
        <v>1664</v>
      </c>
      <c r="G42" s="4" t="s">
        <v>1665</v>
      </c>
      <c r="H42" s="4"/>
      <c r="I42" s="4" t="s">
        <v>39</v>
      </c>
      <c r="J42" s="4">
        <v>531</v>
      </c>
      <c r="K42" s="4">
        <v>450</v>
      </c>
      <c r="L42" s="4" t="s">
        <v>1521</v>
      </c>
    </row>
    <row r="43" spans="1:12" x14ac:dyDescent="0.2">
      <c r="A43" s="4" t="s">
        <v>1666</v>
      </c>
      <c r="B43" s="4" t="s">
        <v>1667</v>
      </c>
      <c r="C43" s="4" t="s">
        <v>36</v>
      </c>
      <c r="D43" s="4" t="s">
        <v>1500</v>
      </c>
      <c r="E43" s="4" t="s">
        <v>1547</v>
      </c>
      <c r="F43" s="4" t="s">
        <v>1668</v>
      </c>
      <c r="G43" s="4" t="s">
        <v>1669</v>
      </c>
      <c r="H43" s="4"/>
      <c r="I43" s="4" t="s">
        <v>39</v>
      </c>
      <c r="J43" s="4">
        <v>370</v>
      </c>
      <c r="K43" s="4">
        <v>342</v>
      </c>
      <c r="L43" s="4" t="s">
        <v>1504</v>
      </c>
    </row>
    <row r="44" spans="1:12" x14ac:dyDescent="0.2">
      <c r="A44" s="4" t="s">
        <v>1670</v>
      </c>
      <c r="B44" s="4" t="s">
        <v>1667</v>
      </c>
      <c r="C44" s="4" t="s">
        <v>36</v>
      </c>
      <c r="D44" s="4" t="s">
        <v>1500</v>
      </c>
      <c r="E44" s="4" t="s">
        <v>1501</v>
      </c>
      <c r="F44" s="4" t="s">
        <v>1671</v>
      </c>
      <c r="G44" s="4" t="s">
        <v>1672</v>
      </c>
      <c r="H44" s="4"/>
      <c r="I44" s="4" t="s">
        <v>41</v>
      </c>
      <c r="J44" s="4">
        <v>274</v>
      </c>
      <c r="K44" s="4">
        <v>233</v>
      </c>
      <c r="L44" s="4" t="s">
        <v>1544</v>
      </c>
    </row>
    <row r="45" spans="1:12" x14ac:dyDescent="0.2">
      <c r="A45" s="4" t="s">
        <v>1673</v>
      </c>
      <c r="B45" s="4" t="s">
        <v>1674</v>
      </c>
      <c r="C45" s="4" t="s">
        <v>36</v>
      </c>
      <c r="D45" s="4" t="s">
        <v>1513</v>
      </c>
      <c r="E45" s="4" t="s">
        <v>1547</v>
      </c>
      <c r="F45" s="4" t="s">
        <v>1675</v>
      </c>
      <c r="G45" s="4" t="s">
        <v>1676</v>
      </c>
      <c r="H45" s="4" t="s">
        <v>1676</v>
      </c>
      <c r="I45" s="4" t="s">
        <v>40</v>
      </c>
      <c r="J45" s="4">
        <v>514</v>
      </c>
      <c r="K45" s="4">
        <v>516</v>
      </c>
      <c r="L45" s="4" t="s">
        <v>1516</v>
      </c>
    </row>
    <row r="46" spans="1:12" x14ac:dyDescent="0.2">
      <c r="A46" s="4" t="s">
        <v>1677</v>
      </c>
      <c r="B46" s="4" t="s">
        <v>1678</v>
      </c>
      <c r="C46" s="4" t="s">
        <v>33</v>
      </c>
      <c r="D46" s="4" t="s">
        <v>1513</v>
      </c>
      <c r="E46" s="4" t="s">
        <v>1494</v>
      </c>
      <c r="F46" s="4" t="s">
        <v>1679</v>
      </c>
      <c r="G46" s="4" t="s">
        <v>1680</v>
      </c>
      <c r="H46" s="4" t="s">
        <v>1680</v>
      </c>
      <c r="I46" s="4" t="s">
        <v>40</v>
      </c>
      <c r="J46" s="4">
        <v>159</v>
      </c>
      <c r="K46" s="4">
        <v>159</v>
      </c>
      <c r="L46" s="4" t="s">
        <v>1530</v>
      </c>
    </row>
    <row r="47" spans="1:12" x14ac:dyDescent="0.2">
      <c r="A47" s="4" t="s">
        <v>1681</v>
      </c>
      <c r="B47" s="4" t="s">
        <v>1678</v>
      </c>
      <c r="C47" s="4" t="s">
        <v>33</v>
      </c>
      <c r="D47" s="4" t="s">
        <v>1513</v>
      </c>
      <c r="E47" s="4" t="s">
        <v>1547</v>
      </c>
      <c r="F47" s="4" t="s">
        <v>1682</v>
      </c>
      <c r="G47" s="4" t="s">
        <v>1683</v>
      </c>
      <c r="H47" s="4" t="s">
        <v>1683</v>
      </c>
      <c r="I47" s="4" t="s">
        <v>40</v>
      </c>
      <c r="J47" s="4">
        <v>132</v>
      </c>
      <c r="K47" s="4">
        <v>115</v>
      </c>
      <c r="L47" s="4" t="s">
        <v>1561</v>
      </c>
    </row>
    <row r="48" spans="1:12" x14ac:dyDescent="0.2">
      <c r="A48" s="4" t="s">
        <v>1684</v>
      </c>
      <c r="B48" s="4" t="s">
        <v>1685</v>
      </c>
      <c r="C48" s="4" t="s">
        <v>35</v>
      </c>
      <c r="D48" s="4" t="s">
        <v>1585</v>
      </c>
      <c r="E48" s="4" t="s">
        <v>1527</v>
      </c>
      <c r="F48" s="4" t="s">
        <v>1686</v>
      </c>
      <c r="G48" s="4" t="s">
        <v>1687</v>
      </c>
      <c r="H48" s="4"/>
      <c r="I48" s="4" t="s">
        <v>41</v>
      </c>
      <c r="J48" s="4">
        <v>188</v>
      </c>
      <c r="K48" s="4">
        <v>167</v>
      </c>
      <c r="L48" s="4" t="s">
        <v>1521</v>
      </c>
    </row>
    <row r="49" spans="1:12" x14ac:dyDescent="0.2">
      <c r="A49" s="4" t="s">
        <v>1688</v>
      </c>
      <c r="B49" s="4" t="s">
        <v>1689</v>
      </c>
      <c r="C49" s="4" t="s">
        <v>35</v>
      </c>
      <c r="D49" s="4" t="s">
        <v>1513</v>
      </c>
      <c r="E49" s="4" t="s">
        <v>1527</v>
      </c>
      <c r="F49" s="4" t="s">
        <v>1610</v>
      </c>
      <c r="G49" s="4" t="s">
        <v>1690</v>
      </c>
      <c r="H49" s="4" t="s">
        <v>1690</v>
      </c>
      <c r="I49" s="4" t="s">
        <v>40</v>
      </c>
      <c r="J49" s="4">
        <v>437</v>
      </c>
      <c r="K49" s="4">
        <v>441</v>
      </c>
      <c r="L49" s="4" t="s">
        <v>1504</v>
      </c>
    </row>
    <row r="50" spans="1:12" x14ac:dyDescent="0.2">
      <c r="A50" s="4" t="s">
        <v>1691</v>
      </c>
      <c r="B50" s="4" t="s">
        <v>1692</v>
      </c>
      <c r="C50" s="4" t="s">
        <v>34</v>
      </c>
      <c r="D50" s="4" t="s">
        <v>1507</v>
      </c>
      <c r="E50" s="4" t="s">
        <v>1527</v>
      </c>
      <c r="F50" s="4" t="s">
        <v>1693</v>
      </c>
      <c r="G50" s="4" t="s">
        <v>1694</v>
      </c>
      <c r="H50" s="4"/>
      <c r="I50" s="4" t="s">
        <v>39</v>
      </c>
      <c r="J50" s="4">
        <v>529</v>
      </c>
      <c r="K50" s="4">
        <v>152</v>
      </c>
      <c r="L50" s="4" t="s">
        <v>1530</v>
      </c>
    </row>
    <row r="51" spans="1:12" x14ac:dyDescent="0.2">
      <c r="A51" s="4" t="s">
        <v>1695</v>
      </c>
      <c r="B51" s="4" t="s">
        <v>1692</v>
      </c>
      <c r="C51" s="4" t="s">
        <v>34</v>
      </c>
      <c r="D51" s="4" t="s">
        <v>1507</v>
      </c>
      <c r="E51" s="4" t="s">
        <v>1501</v>
      </c>
      <c r="F51" s="4" t="s">
        <v>1696</v>
      </c>
      <c r="G51" s="4" t="s">
        <v>1697</v>
      </c>
      <c r="H51" s="4"/>
      <c r="I51" s="4" t="s">
        <v>41</v>
      </c>
      <c r="J51" s="4">
        <v>324</v>
      </c>
      <c r="K51" s="4">
        <v>231</v>
      </c>
      <c r="L51" s="4" t="s">
        <v>1530</v>
      </c>
    </row>
    <row r="52" spans="1:12" x14ac:dyDescent="0.2">
      <c r="A52" s="4" t="s">
        <v>1698</v>
      </c>
      <c r="B52" s="4" t="s">
        <v>1699</v>
      </c>
      <c r="C52" s="4" t="s">
        <v>35</v>
      </c>
      <c r="D52" s="4" t="s">
        <v>1500</v>
      </c>
      <c r="E52" s="4" t="s">
        <v>1547</v>
      </c>
      <c r="F52" s="4" t="s">
        <v>1700</v>
      </c>
      <c r="G52" s="4" t="s">
        <v>1701</v>
      </c>
      <c r="H52" s="4"/>
      <c r="I52" s="4" t="s">
        <v>39</v>
      </c>
      <c r="J52" s="4">
        <v>132</v>
      </c>
      <c r="K52" s="4">
        <v>46</v>
      </c>
      <c r="L52" s="4" t="s">
        <v>1516</v>
      </c>
    </row>
    <row r="53" spans="1:12" x14ac:dyDescent="0.2">
      <c r="A53" s="4" t="s">
        <v>1702</v>
      </c>
      <c r="B53" s="4" t="s">
        <v>1699</v>
      </c>
      <c r="C53" s="4" t="s">
        <v>35</v>
      </c>
      <c r="D53" s="4" t="s">
        <v>1500</v>
      </c>
      <c r="E53" s="4" t="s">
        <v>1527</v>
      </c>
      <c r="F53" s="4" t="s">
        <v>1703</v>
      </c>
      <c r="G53" s="4" t="s">
        <v>1704</v>
      </c>
      <c r="H53" s="4"/>
      <c r="I53" s="4" t="s">
        <v>39</v>
      </c>
      <c r="J53" s="4">
        <v>336</v>
      </c>
      <c r="K53" s="4">
        <v>83</v>
      </c>
      <c r="L53" s="4" t="s">
        <v>1561</v>
      </c>
    </row>
    <row r="54" spans="1:12" x14ac:dyDescent="0.2">
      <c r="A54" s="4" t="s">
        <v>1705</v>
      </c>
      <c r="B54" s="4" t="s">
        <v>1706</v>
      </c>
      <c r="C54" s="4" t="s">
        <v>34</v>
      </c>
      <c r="D54" s="4" t="s">
        <v>1493</v>
      </c>
      <c r="E54" s="4" t="s">
        <v>1494</v>
      </c>
      <c r="F54" s="4" t="s">
        <v>1707</v>
      </c>
      <c r="G54" s="4" t="s">
        <v>1708</v>
      </c>
      <c r="H54" s="4" t="s">
        <v>1708</v>
      </c>
      <c r="I54" s="4" t="s">
        <v>40</v>
      </c>
      <c r="J54" s="4">
        <v>330</v>
      </c>
      <c r="K54" s="4">
        <v>298</v>
      </c>
      <c r="L54" s="4" t="s">
        <v>1504</v>
      </c>
    </row>
    <row r="55" spans="1:12" x14ac:dyDescent="0.2">
      <c r="A55" s="4" t="s">
        <v>1709</v>
      </c>
      <c r="B55" s="4" t="s">
        <v>1710</v>
      </c>
      <c r="C55" s="4" t="s">
        <v>33</v>
      </c>
      <c r="D55" s="4" t="s">
        <v>1500</v>
      </c>
      <c r="E55" s="4" t="s">
        <v>1547</v>
      </c>
      <c r="F55" s="4" t="s">
        <v>1711</v>
      </c>
      <c r="G55" s="4" t="s">
        <v>1712</v>
      </c>
      <c r="H55" s="4" t="s">
        <v>1712</v>
      </c>
      <c r="I55" s="4" t="s">
        <v>40</v>
      </c>
      <c r="J55" s="4">
        <v>280</v>
      </c>
      <c r="K55" s="4">
        <v>255</v>
      </c>
      <c r="L55" s="4" t="s">
        <v>1516</v>
      </c>
    </row>
    <row r="56" spans="1:12" x14ac:dyDescent="0.2">
      <c r="A56" s="4" t="s">
        <v>1713</v>
      </c>
      <c r="B56" s="4" t="s">
        <v>1710</v>
      </c>
      <c r="C56" s="4" t="s">
        <v>33</v>
      </c>
      <c r="D56" s="4" t="s">
        <v>1500</v>
      </c>
      <c r="E56" s="4" t="s">
        <v>1527</v>
      </c>
      <c r="F56" s="4" t="s">
        <v>1714</v>
      </c>
      <c r="G56" s="4" t="s">
        <v>1715</v>
      </c>
      <c r="H56" s="4"/>
      <c r="I56" s="4" t="s">
        <v>39</v>
      </c>
      <c r="J56" s="4">
        <v>209</v>
      </c>
      <c r="K56" s="4">
        <v>43</v>
      </c>
      <c r="L56" s="4" t="s">
        <v>1544</v>
      </c>
    </row>
    <row r="57" spans="1:12" x14ac:dyDescent="0.2">
      <c r="A57" s="4" t="s">
        <v>1716</v>
      </c>
      <c r="B57" s="4" t="s">
        <v>1717</v>
      </c>
      <c r="C57" s="4" t="s">
        <v>35</v>
      </c>
      <c r="D57" s="4" t="s">
        <v>1493</v>
      </c>
      <c r="E57" s="4" t="s">
        <v>1547</v>
      </c>
      <c r="F57" s="4" t="s">
        <v>1718</v>
      </c>
      <c r="G57" s="4" t="s">
        <v>1719</v>
      </c>
      <c r="H57" s="4"/>
      <c r="I57" s="4" t="s">
        <v>41</v>
      </c>
      <c r="J57" s="4">
        <v>176</v>
      </c>
      <c r="K57" s="4">
        <v>87</v>
      </c>
      <c r="L57" s="4" t="s">
        <v>1497</v>
      </c>
    </row>
    <row r="58" spans="1:12" x14ac:dyDescent="0.2">
      <c r="A58" s="4" t="s">
        <v>1720</v>
      </c>
      <c r="B58" s="4" t="s">
        <v>1721</v>
      </c>
      <c r="C58" s="4" t="s">
        <v>33</v>
      </c>
      <c r="D58" s="4" t="s">
        <v>1541</v>
      </c>
      <c r="E58" s="4" t="s">
        <v>1547</v>
      </c>
      <c r="F58" s="4" t="s">
        <v>1722</v>
      </c>
      <c r="G58" s="4" t="s">
        <v>1723</v>
      </c>
      <c r="H58" s="4"/>
      <c r="I58" s="4" t="s">
        <v>39</v>
      </c>
      <c r="J58" s="4">
        <v>39</v>
      </c>
      <c r="K58" s="4">
        <v>25</v>
      </c>
      <c r="L58" s="4" t="s">
        <v>1497</v>
      </c>
    </row>
    <row r="59" spans="1:12" x14ac:dyDescent="0.2">
      <c r="A59" s="4" t="s">
        <v>1724</v>
      </c>
      <c r="B59" s="4" t="s">
        <v>1721</v>
      </c>
      <c r="C59" s="4" t="s">
        <v>33</v>
      </c>
      <c r="D59" s="4" t="s">
        <v>1541</v>
      </c>
      <c r="E59" s="4" t="s">
        <v>1501</v>
      </c>
      <c r="F59" s="4" t="s">
        <v>1725</v>
      </c>
      <c r="G59" s="4" t="s">
        <v>1726</v>
      </c>
      <c r="H59" s="4"/>
      <c r="I59" s="4" t="s">
        <v>39</v>
      </c>
      <c r="J59" s="4">
        <v>589</v>
      </c>
      <c r="K59" s="4">
        <v>424</v>
      </c>
      <c r="L59" s="4" t="s">
        <v>1530</v>
      </c>
    </row>
    <row r="60" spans="1:12" x14ac:dyDescent="0.2">
      <c r="A60" s="4" t="s">
        <v>1727</v>
      </c>
      <c r="B60" s="4" t="s">
        <v>1728</v>
      </c>
      <c r="C60" s="4" t="s">
        <v>35</v>
      </c>
      <c r="D60" s="4" t="s">
        <v>1621</v>
      </c>
      <c r="E60" s="4" t="s">
        <v>1547</v>
      </c>
      <c r="F60" s="4" t="s">
        <v>1729</v>
      </c>
      <c r="G60" s="4" t="s">
        <v>1730</v>
      </c>
      <c r="H60" s="4" t="s">
        <v>1731</v>
      </c>
      <c r="I60" s="4" t="s">
        <v>43</v>
      </c>
      <c r="J60" s="4">
        <v>336</v>
      </c>
      <c r="K60" s="4">
        <v>164</v>
      </c>
      <c r="L60" s="4" t="s">
        <v>1497</v>
      </c>
    </row>
    <row r="61" spans="1:12" x14ac:dyDescent="0.2">
      <c r="A61" s="4" t="s">
        <v>1732</v>
      </c>
      <c r="B61" s="4" t="s">
        <v>1728</v>
      </c>
      <c r="C61" s="4" t="s">
        <v>35</v>
      </c>
      <c r="D61" s="4" t="s">
        <v>1621</v>
      </c>
      <c r="E61" s="4" t="s">
        <v>1501</v>
      </c>
      <c r="F61" s="4" t="s">
        <v>1733</v>
      </c>
      <c r="G61" s="4" t="s">
        <v>1734</v>
      </c>
      <c r="H61" s="4"/>
      <c r="I61" s="4" t="s">
        <v>39</v>
      </c>
      <c r="J61" s="4">
        <v>339</v>
      </c>
      <c r="K61" s="4">
        <v>94</v>
      </c>
      <c r="L61" s="4" t="s">
        <v>1544</v>
      </c>
    </row>
    <row r="62" spans="1:12" x14ac:dyDescent="0.2">
      <c r="A62" s="4" t="s">
        <v>1735</v>
      </c>
      <c r="B62" s="4" t="s">
        <v>1736</v>
      </c>
      <c r="C62" s="4" t="s">
        <v>34</v>
      </c>
      <c r="D62" s="4" t="s">
        <v>1493</v>
      </c>
      <c r="E62" s="4" t="s">
        <v>1547</v>
      </c>
      <c r="F62" s="4" t="s">
        <v>1737</v>
      </c>
      <c r="G62" s="4" t="s">
        <v>1738</v>
      </c>
      <c r="H62" s="4"/>
      <c r="I62" s="4" t="s">
        <v>41</v>
      </c>
      <c r="J62" s="4">
        <v>272</v>
      </c>
      <c r="K62" s="4">
        <v>255</v>
      </c>
      <c r="L62" s="4" t="s">
        <v>1504</v>
      </c>
    </row>
    <row r="63" spans="1:12" x14ac:dyDescent="0.2">
      <c r="A63" s="4" t="s">
        <v>1739</v>
      </c>
      <c r="B63" s="4" t="s">
        <v>1736</v>
      </c>
      <c r="C63" s="4" t="s">
        <v>34</v>
      </c>
      <c r="D63" s="4" t="s">
        <v>1493</v>
      </c>
      <c r="E63" s="4" t="s">
        <v>1494</v>
      </c>
      <c r="F63" s="4" t="s">
        <v>1740</v>
      </c>
      <c r="G63" s="4" t="s">
        <v>1741</v>
      </c>
      <c r="H63" s="4"/>
      <c r="I63" s="4" t="s">
        <v>41</v>
      </c>
      <c r="J63" s="4">
        <v>332</v>
      </c>
      <c r="K63" s="4">
        <v>190</v>
      </c>
      <c r="L63" s="4" t="s">
        <v>1561</v>
      </c>
    </row>
    <row r="64" spans="1:12" x14ac:dyDescent="0.2">
      <c r="A64" s="4" t="s">
        <v>1742</v>
      </c>
      <c r="B64" s="4" t="s">
        <v>1743</v>
      </c>
      <c r="C64" s="4" t="s">
        <v>33</v>
      </c>
      <c r="D64" s="4" t="s">
        <v>1621</v>
      </c>
      <c r="E64" s="4" t="s">
        <v>1527</v>
      </c>
      <c r="F64" s="4" t="s">
        <v>1744</v>
      </c>
      <c r="G64" s="4" t="s">
        <v>1745</v>
      </c>
      <c r="H64" s="4" t="s">
        <v>1745</v>
      </c>
      <c r="I64" s="4" t="s">
        <v>40</v>
      </c>
      <c r="J64" s="4">
        <v>38</v>
      </c>
      <c r="K64" s="4">
        <v>37</v>
      </c>
      <c r="L64" s="4" t="s">
        <v>1521</v>
      </c>
    </row>
    <row r="65" spans="1:12" x14ac:dyDescent="0.2">
      <c r="A65" s="4" t="s">
        <v>1746</v>
      </c>
      <c r="B65" s="4" t="s">
        <v>1743</v>
      </c>
      <c r="C65" s="4" t="s">
        <v>33</v>
      </c>
      <c r="D65" s="4" t="s">
        <v>1621</v>
      </c>
      <c r="E65" s="4" t="s">
        <v>1494</v>
      </c>
      <c r="F65" s="4" t="s">
        <v>1747</v>
      </c>
      <c r="G65" s="4" t="s">
        <v>1748</v>
      </c>
      <c r="H65" s="4" t="s">
        <v>1748</v>
      </c>
      <c r="I65" s="4" t="s">
        <v>40</v>
      </c>
      <c r="J65" s="4">
        <v>265</v>
      </c>
      <c r="K65" s="4">
        <v>225</v>
      </c>
      <c r="L65" s="4" t="s">
        <v>1538</v>
      </c>
    </row>
    <row r="66" spans="1:12" x14ac:dyDescent="0.2">
      <c r="A66" s="4" t="s">
        <v>1749</v>
      </c>
      <c r="B66" s="4" t="s">
        <v>1750</v>
      </c>
      <c r="C66" s="4" t="s">
        <v>35</v>
      </c>
      <c r="D66" s="4" t="s">
        <v>1493</v>
      </c>
      <c r="E66" s="4" t="s">
        <v>1501</v>
      </c>
      <c r="F66" s="4" t="s">
        <v>1751</v>
      </c>
      <c r="G66" s="4" t="s">
        <v>1752</v>
      </c>
      <c r="H66" s="4"/>
      <c r="I66" s="4" t="s">
        <v>39</v>
      </c>
      <c r="J66" s="4">
        <v>286</v>
      </c>
      <c r="K66" s="4">
        <v>168</v>
      </c>
      <c r="L66" s="4" t="s">
        <v>1530</v>
      </c>
    </row>
    <row r="67" spans="1:12" x14ac:dyDescent="0.2">
      <c r="A67" s="4" t="s">
        <v>1753</v>
      </c>
      <c r="B67" s="4" t="s">
        <v>1754</v>
      </c>
      <c r="C67" s="4" t="s">
        <v>35</v>
      </c>
      <c r="D67" s="4" t="s">
        <v>1493</v>
      </c>
      <c r="E67" s="4" t="s">
        <v>1527</v>
      </c>
      <c r="F67" s="4" t="s">
        <v>1534</v>
      </c>
      <c r="G67" s="4" t="s">
        <v>1755</v>
      </c>
      <c r="H67" s="4"/>
      <c r="I67" s="4" t="s">
        <v>41</v>
      </c>
      <c r="J67" s="4">
        <v>481</v>
      </c>
      <c r="K67" s="4">
        <v>222</v>
      </c>
      <c r="L67" s="4" t="s">
        <v>1504</v>
      </c>
    </row>
    <row r="68" spans="1:12" x14ac:dyDescent="0.2">
      <c r="A68" s="4" t="s">
        <v>1756</v>
      </c>
      <c r="B68" s="4" t="s">
        <v>1757</v>
      </c>
      <c r="C68" s="4" t="s">
        <v>33</v>
      </c>
      <c r="D68" s="4" t="s">
        <v>1493</v>
      </c>
      <c r="E68" s="4" t="s">
        <v>1494</v>
      </c>
      <c r="F68" s="4" t="s">
        <v>1758</v>
      </c>
      <c r="G68" s="4" t="s">
        <v>1759</v>
      </c>
      <c r="H68" s="4"/>
      <c r="I68" s="4" t="s">
        <v>41</v>
      </c>
      <c r="J68" s="4">
        <v>332</v>
      </c>
      <c r="K68" s="4">
        <v>85</v>
      </c>
      <c r="L68" s="4" t="s">
        <v>1544</v>
      </c>
    </row>
    <row r="69" spans="1:12" x14ac:dyDescent="0.2">
      <c r="A69" s="4" t="s">
        <v>1760</v>
      </c>
      <c r="B69" s="4" t="s">
        <v>1761</v>
      </c>
      <c r="C69" s="4" t="s">
        <v>33</v>
      </c>
      <c r="D69" s="4" t="s">
        <v>1585</v>
      </c>
      <c r="E69" s="4" t="s">
        <v>1494</v>
      </c>
      <c r="F69" s="4" t="s">
        <v>1762</v>
      </c>
      <c r="G69" s="4" t="s">
        <v>1763</v>
      </c>
      <c r="H69" s="4"/>
      <c r="I69" s="4" t="s">
        <v>39</v>
      </c>
      <c r="J69" s="4">
        <v>165</v>
      </c>
      <c r="K69" s="4">
        <v>49</v>
      </c>
      <c r="L69" s="4" t="s">
        <v>1497</v>
      </c>
    </row>
    <row r="70" spans="1:12" x14ac:dyDescent="0.2">
      <c r="A70" s="4" t="s">
        <v>1764</v>
      </c>
      <c r="B70" s="4" t="s">
        <v>1765</v>
      </c>
      <c r="C70" s="4" t="s">
        <v>35</v>
      </c>
      <c r="D70" s="4" t="s">
        <v>1500</v>
      </c>
      <c r="E70" s="4" t="s">
        <v>1494</v>
      </c>
      <c r="F70" s="4" t="s">
        <v>1766</v>
      </c>
      <c r="G70" s="4" t="s">
        <v>1767</v>
      </c>
      <c r="H70" s="4" t="s">
        <v>1767</v>
      </c>
      <c r="I70" s="4" t="s">
        <v>40</v>
      </c>
      <c r="J70" s="4">
        <v>523</v>
      </c>
      <c r="K70" s="4">
        <v>516</v>
      </c>
      <c r="L70" s="4" t="s">
        <v>1504</v>
      </c>
    </row>
    <row r="71" spans="1:12" x14ac:dyDescent="0.2">
      <c r="A71" s="4" t="s">
        <v>1768</v>
      </c>
      <c r="B71" s="4" t="s">
        <v>1769</v>
      </c>
      <c r="C71" s="4" t="s">
        <v>34</v>
      </c>
      <c r="D71" s="4" t="s">
        <v>1585</v>
      </c>
      <c r="E71" s="4" t="s">
        <v>1501</v>
      </c>
      <c r="F71" s="4" t="s">
        <v>1770</v>
      </c>
      <c r="G71" s="4" t="s">
        <v>1771</v>
      </c>
      <c r="H71" s="4" t="s">
        <v>1771</v>
      </c>
      <c r="I71" s="4" t="s">
        <v>40</v>
      </c>
      <c r="J71" s="4">
        <v>107</v>
      </c>
      <c r="K71" s="4">
        <v>95</v>
      </c>
      <c r="L71" s="4" t="s">
        <v>1538</v>
      </c>
    </row>
    <row r="72" spans="1:12" x14ac:dyDescent="0.2">
      <c r="A72" s="4" t="s">
        <v>1772</v>
      </c>
      <c r="B72" s="4" t="s">
        <v>1773</v>
      </c>
      <c r="C72" s="4" t="s">
        <v>35</v>
      </c>
      <c r="D72" s="4" t="s">
        <v>1507</v>
      </c>
      <c r="E72" s="4" t="s">
        <v>1547</v>
      </c>
      <c r="F72" s="4" t="s">
        <v>1774</v>
      </c>
      <c r="G72" s="4" t="s">
        <v>1775</v>
      </c>
      <c r="H72" s="4"/>
      <c r="I72" s="4" t="s">
        <v>41</v>
      </c>
      <c r="J72" s="4">
        <v>404</v>
      </c>
      <c r="K72" s="4">
        <v>112</v>
      </c>
      <c r="L72" s="4" t="s">
        <v>1561</v>
      </c>
    </row>
    <row r="73" spans="1:12" x14ac:dyDescent="0.2">
      <c r="A73" s="4" t="s">
        <v>1776</v>
      </c>
      <c r="B73" s="4" t="s">
        <v>1773</v>
      </c>
      <c r="C73" s="4" t="s">
        <v>35</v>
      </c>
      <c r="D73" s="4" t="s">
        <v>1507</v>
      </c>
      <c r="E73" s="4" t="s">
        <v>1547</v>
      </c>
      <c r="F73" s="4" t="s">
        <v>1777</v>
      </c>
      <c r="G73" s="4" t="s">
        <v>1778</v>
      </c>
      <c r="H73" s="4" t="s">
        <v>1778</v>
      </c>
      <c r="I73" s="4" t="s">
        <v>40</v>
      </c>
      <c r="J73" s="4">
        <v>579</v>
      </c>
      <c r="K73" s="4">
        <v>573</v>
      </c>
      <c r="L73" s="4" t="s">
        <v>1504</v>
      </c>
    </row>
    <row r="74" spans="1:12" x14ac:dyDescent="0.2">
      <c r="A74" s="4" t="s">
        <v>1779</v>
      </c>
      <c r="B74" s="4" t="s">
        <v>1780</v>
      </c>
      <c r="C74" s="4" t="s">
        <v>33</v>
      </c>
      <c r="D74" s="4" t="s">
        <v>1493</v>
      </c>
      <c r="E74" s="4" t="s">
        <v>1494</v>
      </c>
      <c r="F74" s="4" t="s">
        <v>1781</v>
      </c>
      <c r="G74" s="4" t="s">
        <v>1782</v>
      </c>
      <c r="H74" s="4"/>
      <c r="I74" s="4" t="s">
        <v>41</v>
      </c>
      <c r="J74" s="4">
        <v>420</v>
      </c>
      <c r="K74" s="4">
        <v>378</v>
      </c>
      <c r="L74" s="4" t="s">
        <v>1530</v>
      </c>
    </row>
    <row r="75" spans="1:12" x14ac:dyDescent="0.2">
      <c r="A75" s="4" t="s">
        <v>1783</v>
      </c>
      <c r="B75" s="4" t="s">
        <v>1784</v>
      </c>
      <c r="C75" s="4" t="s">
        <v>33</v>
      </c>
      <c r="D75" s="4" t="s">
        <v>1585</v>
      </c>
      <c r="E75" s="4" t="s">
        <v>1494</v>
      </c>
      <c r="F75" s="4" t="s">
        <v>1785</v>
      </c>
      <c r="G75" s="4" t="s">
        <v>1786</v>
      </c>
      <c r="H75" s="4"/>
      <c r="I75" s="4" t="s">
        <v>41</v>
      </c>
      <c r="J75" s="4">
        <v>55</v>
      </c>
      <c r="K75" s="4">
        <v>33</v>
      </c>
      <c r="L75" s="4" t="s">
        <v>1538</v>
      </c>
    </row>
    <row r="76" spans="1:12" x14ac:dyDescent="0.2">
      <c r="A76" s="4" t="s">
        <v>1787</v>
      </c>
      <c r="B76" s="4" t="s">
        <v>1788</v>
      </c>
      <c r="C76" s="4" t="s">
        <v>33</v>
      </c>
      <c r="D76" s="4" t="s">
        <v>1621</v>
      </c>
      <c r="E76" s="4" t="s">
        <v>1494</v>
      </c>
      <c r="F76" s="4" t="s">
        <v>1741</v>
      </c>
      <c r="G76" s="4" t="s">
        <v>1789</v>
      </c>
      <c r="H76" s="4" t="s">
        <v>1789</v>
      </c>
      <c r="I76" s="4" t="s">
        <v>40</v>
      </c>
      <c r="J76" s="4">
        <v>505</v>
      </c>
      <c r="K76" s="4">
        <v>517</v>
      </c>
      <c r="L76" s="4" t="s">
        <v>1544</v>
      </c>
    </row>
    <row r="77" spans="1:12" x14ac:dyDescent="0.2">
      <c r="A77" s="4" t="s">
        <v>1790</v>
      </c>
      <c r="B77" s="4" t="s">
        <v>1791</v>
      </c>
      <c r="C77" s="4" t="s">
        <v>35</v>
      </c>
      <c r="D77" s="4" t="s">
        <v>1507</v>
      </c>
      <c r="E77" s="4" t="s">
        <v>1494</v>
      </c>
      <c r="F77" s="4" t="s">
        <v>1792</v>
      </c>
      <c r="G77" s="4" t="s">
        <v>1793</v>
      </c>
      <c r="H77" s="4" t="s">
        <v>1793</v>
      </c>
      <c r="I77" s="4" t="s">
        <v>40</v>
      </c>
      <c r="J77" s="4">
        <v>76</v>
      </c>
      <c r="K77" s="4">
        <v>76</v>
      </c>
      <c r="L77" s="4" t="s">
        <v>1521</v>
      </c>
    </row>
    <row r="78" spans="1:12" x14ac:dyDescent="0.2">
      <c r="A78" s="4" t="s">
        <v>1794</v>
      </c>
      <c r="B78" s="4" t="s">
        <v>1795</v>
      </c>
      <c r="C78" s="4" t="s">
        <v>34</v>
      </c>
      <c r="D78" s="4" t="s">
        <v>1541</v>
      </c>
      <c r="E78" s="4" t="s">
        <v>1501</v>
      </c>
      <c r="F78" s="4" t="s">
        <v>1796</v>
      </c>
      <c r="G78" s="4" t="s">
        <v>1797</v>
      </c>
      <c r="H78" s="4"/>
      <c r="I78" s="4" t="s">
        <v>39</v>
      </c>
      <c r="J78" s="4">
        <v>270</v>
      </c>
      <c r="K78" s="4">
        <v>219</v>
      </c>
      <c r="L78" s="4" t="s">
        <v>1544</v>
      </c>
    </row>
    <row r="79" spans="1:12" x14ac:dyDescent="0.2">
      <c r="A79" s="4" t="s">
        <v>1798</v>
      </c>
      <c r="B79" s="4" t="s">
        <v>1799</v>
      </c>
      <c r="C79" s="4" t="s">
        <v>34</v>
      </c>
      <c r="D79" s="4" t="s">
        <v>1621</v>
      </c>
      <c r="E79" s="4" t="s">
        <v>1547</v>
      </c>
      <c r="F79" s="4" t="s">
        <v>1800</v>
      </c>
      <c r="G79" s="4" t="s">
        <v>1801</v>
      </c>
      <c r="H79" s="4"/>
      <c r="I79" s="4" t="s">
        <v>41</v>
      </c>
      <c r="J79" s="4">
        <v>583</v>
      </c>
      <c r="K79" s="4">
        <v>507</v>
      </c>
      <c r="L79" s="4" t="s">
        <v>1516</v>
      </c>
    </row>
    <row r="80" spans="1:12" x14ac:dyDescent="0.2">
      <c r="A80" s="4" t="s">
        <v>1802</v>
      </c>
      <c r="B80" s="4" t="s">
        <v>1799</v>
      </c>
      <c r="C80" s="4" t="s">
        <v>34</v>
      </c>
      <c r="D80" s="4" t="s">
        <v>1621</v>
      </c>
      <c r="E80" s="4" t="s">
        <v>1547</v>
      </c>
      <c r="F80" s="4" t="s">
        <v>1803</v>
      </c>
      <c r="G80" s="4" t="s">
        <v>1804</v>
      </c>
      <c r="H80" s="4" t="s">
        <v>1804</v>
      </c>
      <c r="I80" s="4" t="s">
        <v>40</v>
      </c>
      <c r="J80" s="4">
        <v>131</v>
      </c>
      <c r="K80" s="4">
        <v>132</v>
      </c>
      <c r="L80" s="4" t="s">
        <v>1544</v>
      </c>
    </row>
    <row r="81" spans="1:12" x14ac:dyDescent="0.2">
      <c r="A81" s="4" t="s">
        <v>1805</v>
      </c>
      <c r="B81" s="4" t="s">
        <v>1806</v>
      </c>
      <c r="C81" s="4" t="s">
        <v>35</v>
      </c>
      <c r="D81" s="4" t="s">
        <v>1493</v>
      </c>
      <c r="E81" s="4" t="s">
        <v>1547</v>
      </c>
      <c r="F81" s="4" t="s">
        <v>1747</v>
      </c>
      <c r="G81" s="4" t="s">
        <v>1807</v>
      </c>
      <c r="H81" s="4"/>
      <c r="I81" s="4" t="s">
        <v>39</v>
      </c>
      <c r="J81" s="4">
        <v>409</v>
      </c>
      <c r="K81" s="4">
        <v>279</v>
      </c>
      <c r="L81" s="4" t="s">
        <v>1521</v>
      </c>
    </row>
    <row r="82" spans="1:12" x14ac:dyDescent="0.2">
      <c r="A82" s="4" t="s">
        <v>1808</v>
      </c>
      <c r="B82" s="4" t="s">
        <v>1809</v>
      </c>
      <c r="C82" s="4" t="s">
        <v>35</v>
      </c>
      <c r="D82" s="4" t="s">
        <v>1500</v>
      </c>
      <c r="E82" s="4" t="s">
        <v>1494</v>
      </c>
      <c r="F82" s="4" t="s">
        <v>1810</v>
      </c>
      <c r="G82" s="4" t="s">
        <v>1811</v>
      </c>
      <c r="H82" s="4" t="s">
        <v>1811</v>
      </c>
      <c r="I82" s="4" t="s">
        <v>40</v>
      </c>
      <c r="J82" s="4">
        <v>131</v>
      </c>
      <c r="K82" s="4">
        <v>130</v>
      </c>
      <c r="L82" s="4" t="s">
        <v>1504</v>
      </c>
    </row>
    <row r="83" spans="1:12" x14ac:dyDescent="0.2">
      <c r="A83" s="4" t="s">
        <v>1812</v>
      </c>
      <c r="B83" s="4" t="s">
        <v>1813</v>
      </c>
      <c r="C83" s="4" t="s">
        <v>33</v>
      </c>
      <c r="D83" s="4" t="s">
        <v>1541</v>
      </c>
      <c r="E83" s="4" t="s">
        <v>1501</v>
      </c>
      <c r="F83" s="4" t="s">
        <v>1814</v>
      </c>
      <c r="G83" s="4" t="s">
        <v>1815</v>
      </c>
      <c r="H83" s="4"/>
      <c r="I83" s="4" t="s">
        <v>41</v>
      </c>
      <c r="J83" s="4">
        <v>312</v>
      </c>
      <c r="K83" s="4">
        <v>76</v>
      </c>
      <c r="L83" s="4" t="s">
        <v>1530</v>
      </c>
    </row>
    <row r="84" spans="1:12" x14ac:dyDescent="0.2">
      <c r="A84" s="4" t="s">
        <v>1816</v>
      </c>
      <c r="B84" s="4" t="s">
        <v>1817</v>
      </c>
      <c r="C84" s="4" t="s">
        <v>35</v>
      </c>
      <c r="D84" s="4" t="s">
        <v>1541</v>
      </c>
      <c r="E84" s="4" t="s">
        <v>1527</v>
      </c>
      <c r="F84" s="4" t="s">
        <v>1818</v>
      </c>
      <c r="G84" s="4" t="s">
        <v>1819</v>
      </c>
      <c r="H84" s="4"/>
      <c r="I84" s="4" t="s">
        <v>41</v>
      </c>
      <c r="J84" s="4">
        <v>247</v>
      </c>
      <c r="K84" s="4">
        <v>78</v>
      </c>
      <c r="L84" s="4" t="s">
        <v>1561</v>
      </c>
    </row>
    <row r="85" spans="1:12" x14ac:dyDescent="0.2">
      <c r="A85" s="4" t="s">
        <v>1820</v>
      </c>
      <c r="B85" s="4" t="s">
        <v>1817</v>
      </c>
      <c r="C85" s="4" t="s">
        <v>35</v>
      </c>
      <c r="D85" s="4" t="s">
        <v>1541</v>
      </c>
      <c r="E85" s="4" t="s">
        <v>1501</v>
      </c>
      <c r="F85" s="4" t="s">
        <v>1821</v>
      </c>
      <c r="G85" s="4" t="s">
        <v>1822</v>
      </c>
      <c r="H85" s="4" t="s">
        <v>1823</v>
      </c>
      <c r="I85" s="4" t="s">
        <v>43</v>
      </c>
      <c r="J85" s="4">
        <v>279</v>
      </c>
      <c r="K85" s="4">
        <v>58</v>
      </c>
      <c r="L85" s="4" t="s">
        <v>1538</v>
      </c>
    </row>
    <row r="86" spans="1:12" x14ac:dyDescent="0.2">
      <c r="A86" s="4" t="s">
        <v>1824</v>
      </c>
      <c r="B86" s="4" t="s">
        <v>1825</v>
      </c>
      <c r="C86" s="4" t="s">
        <v>33</v>
      </c>
      <c r="D86" s="4" t="s">
        <v>1513</v>
      </c>
      <c r="E86" s="4" t="s">
        <v>1501</v>
      </c>
      <c r="F86" s="4" t="s">
        <v>1826</v>
      </c>
      <c r="G86" s="4" t="s">
        <v>1827</v>
      </c>
      <c r="H86" s="4"/>
      <c r="I86" s="4" t="s">
        <v>39</v>
      </c>
      <c r="J86" s="4">
        <v>242</v>
      </c>
      <c r="K86" s="4">
        <v>81</v>
      </c>
      <c r="L86" s="4" t="s">
        <v>1538</v>
      </c>
    </row>
    <row r="87" spans="1:12" x14ac:dyDescent="0.2">
      <c r="A87" s="4" t="s">
        <v>1828</v>
      </c>
      <c r="B87" s="4" t="s">
        <v>1829</v>
      </c>
      <c r="C87" s="4" t="s">
        <v>35</v>
      </c>
      <c r="D87" s="4" t="s">
        <v>1541</v>
      </c>
      <c r="E87" s="4" t="s">
        <v>1494</v>
      </c>
      <c r="F87" s="4" t="s">
        <v>1830</v>
      </c>
      <c r="G87" s="4" t="s">
        <v>1831</v>
      </c>
      <c r="H87" s="4" t="s">
        <v>1831</v>
      </c>
      <c r="I87" s="4" t="s">
        <v>40</v>
      </c>
      <c r="J87" s="4">
        <v>32</v>
      </c>
      <c r="K87" s="4">
        <v>31</v>
      </c>
      <c r="L87" s="4" t="s">
        <v>1516</v>
      </c>
    </row>
    <row r="88" spans="1:12" x14ac:dyDescent="0.2">
      <c r="A88" s="4" t="s">
        <v>1832</v>
      </c>
      <c r="B88" s="4" t="s">
        <v>1833</v>
      </c>
      <c r="C88" s="4" t="s">
        <v>34</v>
      </c>
      <c r="D88" s="4" t="s">
        <v>1541</v>
      </c>
      <c r="E88" s="4" t="s">
        <v>1501</v>
      </c>
      <c r="F88" s="4" t="s">
        <v>1834</v>
      </c>
      <c r="G88" s="4" t="s">
        <v>1835</v>
      </c>
      <c r="H88" s="4"/>
      <c r="I88" s="4" t="s">
        <v>39</v>
      </c>
      <c r="J88" s="4">
        <v>286</v>
      </c>
      <c r="K88" s="4">
        <v>176</v>
      </c>
      <c r="L88" s="4" t="s">
        <v>1530</v>
      </c>
    </row>
    <row r="89" spans="1:12" x14ac:dyDescent="0.2">
      <c r="A89" s="4" t="s">
        <v>1836</v>
      </c>
      <c r="B89" s="4" t="s">
        <v>1837</v>
      </c>
      <c r="C89" s="4" t="s">
        <v>34</v>
      </c>
      <c r="D89" s="4" t="s">
        <v>1493</v>
      </c>
      <c r="E89" s="4" t="s">
        <v>1494</v>
      </c>
      <c r="F89" s="4" t="s">
        <v>1838</v>
      </c>
      <c r="G89" s="4" t="s">
        <v>1839</v>
      </c>
      <c r="H89" s="4" t="s">
        <v>1839</v>
      </c>
      <c r="I89" s="4" t="s">
        <v>40</v>
      </c>
      <c r="J89" s="4">
        <v>45</v>
      </c>
      <c r="K89" s="4">
        <v>40</v>
      </c>
      <c r="L89" s="4" t="s">
        <v>1538</v>
      </c>
    </row>
    <row r="90" spans="1:12" x14ac:dyDescent="0.2">
      <c r="A90" s="4" t="s">
        <v>1840</v>
      </c>
      <c r="B90" s="4" t="s">
        <v>1841</v>
      </c>
      <c r="C90" s="4" t="s">
        <v>33</v>
      </c>
      <c r="D90" s="4" t="s">
        <v>1507</v>
      </c>
      <c r="E90" s="4" t="s">
        <v>1494</v>
      </c>
      <c r="F90" s="4" t="s">
        <v>1842</v>
      </c>
      <c r="G90" s="4" t="s">
        <v>1843</v>
      </c>
      <c r="H90" s="4"/>
      <c r="I90" s="4" t="s">
        <v>42</v>
      </c>
      <c r="J90" s="4">
        <v>208</v>
      </c>
      <c r="K90" s="4">
        <v>193</v>
      </c>
      <c r="L90" s="4" t="s">
        <v>1561</v>
      </c>
    </row>
    <row r="91" spans="1:12" x14ac:dyDescent="0.2">
      <c r="A91" s="4" t="s">
        <v>1844</v>
      </c>
      <c r="B91" s="4" t="s">
        <v>1845</v>
      </c>
      <c r="C91" s="4" t="s">
        <v>33</v>
      </c>
      <c r="D91" s="4" t="s">
        <v>1493</v>
      </c>
      <c r="E91" s="4" t="s">
        <v>1527</v>
      </c>
      <c r="F91" s="4" t="s">
        <v>1846</v>
      </c>
      <c r="G91" s="4" t="s">
        <v>1847</v>
      </c>
      <c r="H91" s="4" t="s">
        <v>1847</v>
      </c>
      <c r="I91" s="4" t="s">
        <v>40</v>
      </c>
      <c r="J91" s="4">
        <v>568</v>
      </c>
      <c r="K91" s="4">
        <v>505</v>
      </c>
      <c r="L91" s="4" t="s">
        <v>1530</v>
      </c>
    </row>
    <row r="92" spans="1:12" x14ac:dyDescent="0.2">
      <c r="A92" s="4" t="s">
        <v>1848</v>
      </c>
      <c r="B92" s="4" t="s">
        <v>1849</v>
      </c>
      <c r="C92" s="4" t="s">
        <v>33</v>
      </c>
      <c r="D92" s="4" t="s">
        <v>1541</v>
      </c>
      <c r="E92" s="4" t="s">
        <v>1527</v>
      </c>
      <c r="F92" s="4" t="s">
        <v>1850</v>
      </c>
      <c r="G92" s="4" t="s">
        <v>1851</v>
      </c>
      <c r="H92" s="4" t="s">
        <v>1851</v>
      </c>
      <c r="I92" s="4" t="s">
        <v>40</v>
      </c>
      <c r="J92" s="4">
        <v>400</v>
      </c>
      <c r="K92" s="4">
        <v>345</v>
      </c>
      <c r="L92" s="4" t="s">
        <v>1521</v>
      </c>
    </row>
    <row r="93" spans="1:12" x14ac:dyDescent="0.2">
      <c r="A93" s="4" t="s">
        <v>1852</v>
      </c>
      <c r="B93" s="4" t="s">
        <v>1849</v>
      </c>
      <c r="C93" s="4" t="s">
        <v>33</v>
      </c>
      <c r="D93" s="4" t="s">
        <v>1541</v>
      </c>
      <c r="E93" s="4" t="s">
        <v>1527</v>
      </c>
      <c r="F93" s="4" t="s">
        <v>1853</v>
      </c>
      <c r="G93" s="4" t="s">
        <v>1854</v>
      </c>
      <c r="H93" s="4"/>
      <c r="I93" s="4" t="s">
        <v>41</v>
      </c>
      <c r="J93" s="4">
        <v>256</v>
      </c>
      <c r="K93" s="4">
        <v>100</v>
      </c>
      <c r="L93" s="4" t="s">
        <v>1497</v>
      </c>
    </row>
    <row r="94" spans="1:12" x14ac:dyDescent="0.2">
      <c r="A94" s="4" t="s">
        <v>1855</v>
      </c>
      <c r="B94" s="4" t="s">
        <v>1856</v>
      </c>
      <c r="C94" s="4" t="s">
        <v>33</v>
      </c>
      <c r="D94" s="4" t="s">
        <v>1500</v>
      </c>
      <c r="E94" s="4" t="s">
        <v>1527</v>
      </c>
      <c r="F94" s="4" t="s">
        <v>1542</v>
      </c>
      <c r="G94" s="4" t="s">
        <v>1857</v>
      </c>
      <c r="H94" s="4"/>
      <c r="I94" s="4" t="s">
        <v>39</v>
      </c>
      <c r="J94" s="4">
        <v>61</v>
      </c>
      <c r="K94" s="4">
        <v>51</v>
      </c>
      <c r="L94" s="4" t="s">
        <v>1521</v>
      </c>
    </row>
    <row r="95" spans="1:12" x14ac:dyDescent="0.2">
      <c r="A95" s="4" t="s">
        <v>1858</v>
      </c>
      <c r="B95" s="4" t="s">
        <v>1856</v>
      </c>
      <c r="C95" s="4" t="s">
        <v>33</v>
      </c>
      <c r="D95" s="4" t="s">
        <v>1500</v>
      </c>
      <c r="E95" s="4" t="s">
        <v>1527</v>
      </c>
      <c r="F95" s="4" t="s">
        <v>1859</v>
      </c>
      <c r="G95" s="4" t="s">
        <v>1860</v>
      </c>
      <c r="H95" s="4" t="s">
        <v>1860</v>
      </c>
      <c r="I95" s="4" t="s">
        <v>40</v>
      </c>
      <c r="J95" s="4">
        <v>466</v>
      </c>
      <c r="K95" s="4">
        <v>465</v>
      </c>
      <c r="L95" s="4" t="s">
        <v>1521</v>
      </c>
    </row>
    <row r="96" spans="1:12" x14ac:dyDescent="0.2">
      <c r="A96" s="4" t="s">
        <v>1861</v>
      </c>
      <c r="B96" s="4" t="s">
        <v>1862</v>
      </c>
      <c r="C96" s="4" t="s">
        <v>36</v>
      </c>
      <c r="D96" s="4" t="s">
        <v>1513</v>
      </c>
      <c r="E96" s="4" t="s">
        <v>1501</v>
      </c>
      <c r="F96" s="4" t="s">
        <v>1863</v>
      </c>
      <c r="G96" s="4" t="s">
        <v>1864</v>
      </c>
      <c r="H96" s="4"/>
      <c r="I96" s="4" t="s">
        <v>39</v>
      </c>
      <c r="J96" s="4">
        <v>112</v>
      </c>
      <c r="K96" s="4">
        <v>51</v>
      </c>
      <c r="L96" s="4" t="s">
        <v>1530</v>
      </c>
    </row>
    <row r="97" spans="1:12" x14ac:dyDescent="0.2">
      <c r="A97" s="4" t="s">
        <v>1865</v>
      </c>
      <c r="B97" s="4" t="s">
        <v>1862</v>
      </c>
      <c r="C97" s="4" t="s">
        <v>36</v>
      </c>
      <c r="D97" s="4" t="s">
        <v>1513</v>
      </c>
      <c r="E97" s="4" t="s">
        <v>1547</v>
      </c>
      <c r="F97" s="4" t="s">
        <v>1866</v>
      </c>
      <c r="G97" s="4" t="s">
        <v>1867</v>
      </c>
      <c r="H97" s="4"/>
      <c r="I97" s="4" t="s">
        <v>39</v>
      </c>
      <c r="J97" s="4">
        <v>311</v>
      </c>
      <c r="K97" s="4">
        <v>292</v>
      </c>
      <c r="L97" s="4" t="s">
        <v>1497</v>
      </c>
    </row>
    <row r="98" spans="1:12" x14ac:dyDescent="0.2">
      <c r="A98" s="4" t="s">
        <v>1868</v>
      </c>
      <c r="B98" s="4" t="s">
        <v>1869</v>
      </c>
      <c r="C98" s="4" t="s">
        <v>33</v>
      </c>
      <c r="D98" s="4" t="s">
        <v>1513</v>
      </c>
      <c r="E98" s="4" t="s">
        <v>1527</v>
      </c>
      <c r="F98" s="4" t="s">
        <v>1870</v>
      </c>
      <c r="G98" s="4" t="s">
        <v>1871</v>
      </c>
      <c r="H98" s="4"/>
      <c r="I98" s="4" t="s">
        <v>41</v>
      </c>
      <c r="J98" s="4">
        <v>470</v>
      </c>
      <c r="K98" s="4">
        <v>399</v>
      </c>
      <c r="L98" s="4" t="s">
        <v>1530</v>
      </c>
    </row>
    <row r="99" spans="1:12" x14ac:dyDescent="0.2">
      <c r="A99" s="4" t="s">
        <v>1872</v>
      </c>
      <c r="B99" s="4" t="s">
        <v>1869</v>
      </c>
      <c r="C99" s="4" t="s">
        <v>33</v>
      </c>
      <c r="D99" s="4" t="s">
        <v>1513</v>
      </c>
      <c r="E99" s="4" t="s">
        <v>1501</v>
      </c>
      <c r="F99" s="4" t="s">
        <v>1873</v>
      </c>
      <c r="G99" s="4" t="s">
        <v>1874</v>
      </c>
      <c r="H99" s="4" t="s">
        <v>1874</v>
      </c>
      <c r="I99" s="4" t="s">
        <v>40</v>
      </c>
      <c r="J99" s="4">
        <v>594</v>
      </c>
      <c r="K99" s="4">
        <v>557</v>
      </c>
      <c r="L99" s="4" t="s">
        <v>1544</v>
      </c>
    </row>
    <row r="100" spans="1:12" x14ac:dyDescent="0.2">
      <c r="A100" s="4" t="s">
        <v>1875</v>
      </c>
      <c r="B100" s="4" t="s">
        <v>1876</v>
      </c>
      <c r="C100" s="4" t="s">
        <v>34</v>
      </c>
      <c r="D100" s="4" t="s">
        <v>1507</v>
      </c>
      <c r="E100" s="4" t="s">
        <v>1494</v>
      </c>
      <c r="F100" s="4" t="s">
        <v>1877</v>
      </c>
      <c r="G100" s="4" t="s">
        <v>1878</v>
      </c>
      <c r="H100" s="4" t="s">
        <v>1878</v>
      </c>
      <c r="I100" s="4" t="s">
        <v>40</v>
      </c>
      <c r="J100" s="4">
        <v>453</v>
      </c>
      <c r="K100" s="4">
        <v>429</v>
      </c>
      <c r="L100" s="4" t="s">
        <v>1521</v>
      </c>
    </row>
    <row r="101" spans="1:12" x14ac:dyDescent="0.2">
      <c r="A101" s="4" t="s">
        <v>1879</v>
      </c>
      <c r="B101" s="4" t="s">
        <v>1876</v>
      </c>
      <c r="C101" s="4" t="s">
        <v>34</v>
      </c>
      <c r="D101" s="4" t="s">
        <v>1507</v>
      </c>
      <c r="E101" s="4" t="s">
        <v>1527</v>
      </c>
      <c r="F101" s="4" t="s">
        <v>1880</v>
      </c>
      <c r="G101" s="4" t="s">
        <v>1881</v>
      </c>
      <c r="H101" s="4" t="s">
        <v>1882</v>
      </c>
      <c r="I101" s="4" t="s">
        <v>43</v>
      </c>
      <c r="J101" s="4">
        <v>455</v>
      </c>
      <c r="K101" s="4">
        <v>250</v>
      </c>
      <c r="L101" s="4" t="s">
        <v>1504</v>
      </c>
    </row>
    <row r="102" spans="1:12" x14ac:dyDescent="0.2">
      <c r="A102" s="4" t="s">
        <v>1883</v>
      </c>
      <c r="B102" s="4" t="s">
        <v>1884</v>
      </c>
      <c r="C102" s="4" t="s">
        <v>36</v>
      </c>
      <c r="D102" s="4" t="s">
        <v>1541</v>
      </c>
      <c r="E102" s="4" t="s">
        <v>1501</v>
      </c>
      <c r="F102" s="4" t="s">
        <v>1885</v>
      </c>
      <c r="G102" s="4" t="s">
        <v>1886</v>
      </c>
      <c r="H102" s="4"/>
      <c r="I102" s="4" t="s">
        <v>39</v>
      </c>
      <c r="J102" s="4">
        <v>291</v>
      </c>
      <c r="K102" s="4">
        <v>187</v>
      </c>
      <c r="L102" s="4" t="s">
        <v>1521</v>
      </c>
    </row>
    <row r="103" spans="1:12" x14ac:dyDescent="0.2">
      <c r="A103" s="4" t="s">
        <v>1887</v>
      </c>
      <c r="B103" s="4" t="s">
        <v>1884</v>
      </c>
      <c r="C103" s="4" t="s">
        <v>35</v>
      </c>
      <c r="D103" s="4" t="s">
        <v>1541</v>
      </c>
      <c r="E103" s="4" t="s">
        <v>1527</v>
      </c>
      <c r="F103" s="4" t="s">
        <v>1888</v>
      </c>
      <c r="G103" s="4" t="s">
        <v>1889</v>
      </c>
      <c r="H103" s="4" t="s">
        <v>1881</v>
      </c>
      <c r="I103" s="4" t="s">
        <v>43</v>
      </c>
      <c r="J103" s="4">
        <v>123</v>
      </c>
      <c r="K103" s="4">
        <v>25</v>
      </c>
      <c r="L103" s="4" t="s">
        <v>1544</v>
      </c>
    </row>
    <row r="104" spans="1:12" x14ac:dyDescent="0.2">
      <c r="A104" s="4" t="s">
        <v>1890</v>
      </c>
      <c r="B104" s="4" t="s">
        <v>1891</v>
      </c>
      <c r="C104" s="4" t="s">
        <v>35</v>
      </c>
      <c r="D104" s="4" t="s">
        <v>1500</v>
      </c>
      <c r="E104" s="4" t="s">
        <v>1494</v>
      </c>
      <c r="F104" s="4" t="s">
        <v>1892</v>
      </c>
      <c r="G104" s="4" t="s">
        <v>1893</v>
      </c>
      <c r="H104" s="4" t="s">
        <v>1893</v>
      </c>
      <c r="I104" s="4" t="s">
        <v>40</v>
      </c>
      <c r="J104" s="4">
        <v>163</v>
      </c>
      <c r="K104" s="4">
        <v>162</v>
      </c>
      <c r="L104" s="4" t="s">
        <v>1530</v>
      </c>
    </row>
    <row r="105" spans="1:12" x14ac:dyDescent="0.2">
      <c r="A105" s="4" t="s">
        <v>1894</v>
      </c>
      <c r="B105" s="4" t="s">
        <v>1895</v>
      </c>
      <c r="C105" s="4" t="s">
        <v>34</v>
      </c>
      <c r="D105" s="4" t="s">
        <v>1513</v>
      </c>
      <c r="E105" s="4" t="s">
        <v>1527</v>
      </c>
      <c r="F105" s="4" t="s">
        <v>1896</v>
      </c>
      <c r="G105" s="4" t="s">
        <v>1897</v>
      </c>
      <c r="H105" s="4"/>
      <c r="I105" s="4" t="s">
        <v>41</v>
      </c>
      <c r="J105" s="4">
        <v>463</v>
      </c>
      <c r="K105" s="4">
        <v>341</v>
      </c>
      <c r="L105" s="4" t="s">
        <v>1497</v>
      </c>
    </row>
    <row r="106" spans="1:12" x14ac:dyDescent="0.2">
      <c r="A106" s="4" t="s">
        <v>1898</v>
      </c>
      <c r="B106" s="4" t="s">
        <v>1895</v>
      </c>
      <c r="C106" s="4" t="s">
        <v>34</v>
      </c>
      <c r="D106" s="4" t="s">
        <v>1513</v>
      </c>
      <c r="E106" s="4" t="s">
        <v>1494</v>
      </c>
      <c r="F106" s="4" t="s">
        <v>1899</v>
      </c>
      <c r="G106" s="4" t="s">
        <v>1900</v>
      </c>
      <c r="H106" s="4" t="s">
        <v>1901</v>
      </c>
      <c r="I106" s="4" t="s">
        <v>43</v>
      </c>
      <c r="J106" s="4">
        <v>349</v>
      </c>
      <c r="K106" s="4">
        <v>66</v>
      </c>
      <c r="L106" s="4" t="s">
        <v>1530</v>
      </c>
    </row>
    <row r="107" spans="1:12" x14ac:dyDescent="0.2">
      <c r="A107" s="4" t="s">
        <v>1902</v>
      </c>
      <c r="B107" s="4" t="s">
        <v>1903</v>
      </c>
      <c r="C107" s="4" t="s">
        <v>35</v>
      </c>
      <c r="D107" s="4" t="s">
        <v>1500</v>
      </c>
      <c r="E107" s="4" t="s">
        <v>1527</v>
      </c>
      <c r="F107" s="4" t="s">
        <v>1904</v>
      </c>
      <c r="G107" s="4" t="s">
        <v>1905</v>
      </c>
      <c r="H107" s="4"/>
      <c r="I107" s="4" t="s">
        <v>42</v>
      </c>
      <c r="J107" s="4">
        <v>523</v>
      </c>
      <c r="K107" s="4">
        <v>175</v>
      </c>
      <c r="L107" s="4" t="s">
        <v>1504</v>
      </c>
    </row>
    <row r="108" spans="1:12" x14ac:dyDescent="0.2">
      <c r="A108" s="4" t="s">
        <v>1906</v>
      </c>
      <c r="B108" s="4" t="s">
        <v>1907</v>
      </c>
      <c r="C108" s="4" t="s">
        <v>33</v>
      </c>
      <c r="D108" s="4" t="s">
        <v>1493</v>
      </c>
      <c r="E108" s="4" t="s">
        <v>1501</v>
      </c>
      <c r="F108" s="4" t="s">
        <v>1908</v>
      </c>
      <c r="G108" s="4" t="s">
        <v>1909</v>
      </c>
      <c r="H108" s="4" t="s">
        <v>1910</v>
      </c>
      <c r="I108" s="4" t="s">
        <v>43</v>
      </c>
      <c r="J108" s="4">
        <v>315</v>
      </c>
      <c r="K108" s="4">
        <v>109</v>
      </c>
      <c r="L108" s="4" t="s">
        <v>1544</v>
      </c>
    </row>
    <row r="109" spans="1:12" x14ac:dyDescent="0.2">
      <c r="A109" s="4" t="s">
        <v>1911</v>
      </c>
      <c r="B109" s="4" t="s">
        <v>1912</v>
      </c>
      <c r="C109" s="4" t="s">
        <v>33</v>
      </c>
      <c r="D109" s="4" t="s">
        <v>1493</v>
      </c>
      <c r="E109" s="4" t="s">
        <v>1527</v>
      </c>
      <c r="F109" s="4" t="s">
        <v>1913</v>
      </c>
      <c r="G109" s="4" t="s">
        <v>1914</v>
      </c>
      <c r="H109" s="4" t="s">
        <v>1915</v>
      </c>
      <c r="I109" s="4" t="s">
        <v>43</v>
      </c>
      <c r="J109" s="4">
        <v>303</v>
      </c>
      <c r="K109" s="4">
        <v>97</v>
      </c>
      <c r="L109" s="4" t="s">
        <v>1516</v>
      </c>
    </row>
    <row r="110" spans="1:12" x14ac:dyDescent="0.2">
      <c r="A110" s="4" t="s">
        <v>1916</v>
      </c>
      <c r="B110" s="4" t="s">
        <v>1917</v>
      </c>
      <c r="C110" s="4" t="s">
        <v>33</v>
      </c>
      <c r="D110" s="4" t="s">
        <v>1585</v>
      </c>
      <c r="E110" s="4" t="s">
        <v>1494</v>
      </c>
      <c r="F110" s="4" t="s">
        <v>1918</v>
      </c>
      <c r="G110" s="4" t="s">
        <v>1919</v>
      </c>
      <c r="H110" s="4"/>
      <c r="I110" s="4" t="s">
        <v>39</v>
      </c>
      <c r="J110" s="4">
        <v>346</v>
      </c>
      <c r="K110" s="4">
        <v>223</v>
      </c>
      <c r="L110" s="4" t="s">
        <v>1504</v>
      </c>
    </row>
    <row r="111" spans="1:12" x14ac:dyDescent="0.2">
      <c r="A111" s="4" t="s">
        <v>1920</v>
      </c>
      <c r="B111" s="4" t="s">
        <v>1921</v>
      </c>
      <c r="C111" s="4" t="s">
        <v>35</v>
      </c>
      <c r="D111" s="4" t="s">
        <v>1493</v>
      </c>
      <c r="E111" s="4" t="s">
        <v>1547</v>
      </c>
      <c r="F111" s="4" t="s">
        <v>1922</v>
      </c>
      <c r="G111" s="4" t="s">
        <v>1923</v>
      </c>
      <c r="H111" s="4"/>
      <c r="I111" s="4" t="s">
        <v>41</v>
      </c>
      <c r="J111" s="4">
        <v>176</v>
      </c>
      <c r="K111" s="4">
        <v>86</v>
      </c>
      <c r="L111" s="4" t="s">
        <v>1530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2" width="10" customWidth="1"/>
    <col min="3" max="3" width="12" customWidth="1"/>
    <col min="4" max="4" width="14" customWidth="1"/>
    <col min="5" max="5" width="12" customWidth="1"/>
    <col min="6" max="6" width="25" customWidth="1"/>
    <col min="7" max="7" width="10" customWidth="1"/>
    <col min="8" max="8" width="13" customWidth="1"/>
    <col min="9" max="9" width="22" customWidth="1"/>
    <col min="10" max="10" width="24" customWidth="1"/>
    <col min="11" max="11" width="17" customWidth="1"/>
  </cols>
  <sheetData>
    <row r="1" spans="1:11" x14ac:dyDescent="0.2">
      <c r="A1" s="8" t="s">
        <v>1924</v>
      </c>
      <c r="B1" s="8" t="s">
        <v>1479</v>
      </c>
      <c r="C1" s="8" t="s">
        <v>1925</v>
      </c>
      <c r="D1" s="8" t="s">
        <v>1926</v>
      </c>
      <c r="E1" s="8" t="s">
        <v>1927</v>
      </c>
      <c r="F1" s="8" t="s">
        <v>1928</v>
      </c>
      <c r="G1" s="8" t="s">
        <v>1929</v>
      </c>
      <c r="H1" s="8" t="s">
        <v>1930</v>
      </c>
      <c r="I1" s="8" t="s">
        <v>1931</v>
      </c>
      <c r="J1" s="8" t="s">
        <v>1932</v>
      </c>
      <c r="K1" s="8" t="s">
        <v>1933</v>
      </c>
    </row>
    <row r="2" spans="1:11" x14ac:dyDescent="0.2">
      <c r="A2" s="4" t="s">
        <v>1934</v>
      </c>
      <c r="B2" s="4" t="s">
        <v>1716</v>
      </c>
      <c r="C2" s="4" t="s">
        <v>1935</v>
      </c>
      <c r="D2" s="4" t="s">
        <v>1936</v>
      </c>
      <c r="E2" s="4" t="s">
        <v>1937</v>
      </c>
      <c r="F2" s="4" t="s">
        <v>1938</v>
      </c>
      <c r="G2" s="4" t="s">
        <v>48</v>
      </c>
      <c r="H2" s="4" t="s">
        <v>1939</v>
      </c>
      <c r="I2" s="4" t="s">
        <v>1940</v>
      </c>
      <c r="J2" s="4" t="s">
        <v>72</v>
      </c>
      <c r="K2" s="4" t="s">
        <v>1941</v>
      </c>
    </row>
    <row r="3" spans="1:11" x14ac:dyDescent="0.2">
      <c r="A3" s="4" t="s">
        <v>1942</v>
      </c>
      <c r="B3" s="4" t="s">
        <v>1498</v>
      </c>
      <c r="C3" s="4" t="s">
        <v>1943</v>
      </c>
      <c r="D3" s="4" t="s">
        <v>1944</v>
      </c>
      <c r="E3" s="4" t="s">
        <v>1945</v>
      </c>
      <c r="F3" s="4" t="s">
        <v>1946</v>
      </c>
      <c r="G3" s="4" t="s">
        <v>48</v>
      </c>
      <c r="H3" s="4" t="s">
        <v>1939</v>
      </c>
      <c r="I3" s="4" t="s">
        <v>1940</v>
      </c>
      <c r="J3" s="4" t="s">
        <v>70</v>
      </c>
      <c r="K3" s="4" t="s">
        <v>1947</v>
      </c>
    </row>
    <row r="4" spans="1:11" x14ac:dyDescent="0.2">
      <c r="A4" s="4" t="s">
        <v>1948</v>
      </c>
      <c r="B4" s="4" t="s">
        <v>1868</v>
      </c>
      <c r="C4" s="4" t="s">
        <v>1949</v>
      </c>
      <c r="D4" s="4" t="s">
        <v>1950</v>
      </c>
      <c r="E4" s="4" t="s">
        <v>1951</v>
      </c>
      <c r="F4" s="4" t="s">
        <v>1952</v>
      </c>
      <c r="G4" s="4" t="s">
        <v>48</v>
      </c>
      <c r="H4" s="4" t="s">
        <v>1939</v>
      </c>
      <c r="I4" s="4" t="s">
        <v>1940</v>
      </c>
      <c r="J4" s="4" t="s">
        <v>70</v>
      </c>
      <c r="K4" s="4" t="s">
        <v>1953</v>
      </c>
    </row>
    <row r="5" spans="1:11" x14ac:dyDescent="0.2">
      <c r="A5" s="4" t="s">
        <v>1954</v>
      </c>
      <c r="B5" s="4" t="s">
        <v>1670</v>
      </c>
      <c r="C5" s="4" t="s">
        <v>1955</v>
      </c>
      <c r="D5" s="4" t="s">
        <v>1956</v>
      </c>
      <c r="E5" s="4" t="s">
        <v>1957</v>
      </c>
      <c r="F5" s="4" t="s">
        <v>1958</v>
      </c>
      <c r="G5" s="4" t="s">
        <v>49</v>
      </c>
      <c r="H5" s="4" t="s">
        <v>1939</v>
      </c>
      <c r="I5" s="4" t="s">
        <v>1959</v>
      </c>
      <c r="J5" s="4" t="s">
        <v>70</v>
      </c>
      <c r="K5" s="4" t="s">
        <v>1960</v>
      </c>
    </row>
    <row r="6" spans="1:11" x14ac:dyDescent="0.2">
      <c r="A6" s="4" t="s">
        <v>1961</v>
      </c>
      <c r="B6" s="4" t="s">
        <v>1855</v>
      </c>
      <c r="C6" s="4" t="s">
        <v>1962</v>
      </c>
      <c r="D6" s="4" t="s">
        <v>1963</v>
      </c>
      <c r="E6" s="4" t="s">
        <v>1821</v>
      </c>
      <c r="F6" s="4" t="s">
        <v>1964</v>
      </c>
      <c r="G6" s="4" t="s">
        <v>49</v>
      </c>
      <c r="H6" s="4" t="s">
        <v>1939</v>
      </c>
      <c r="I6" s="4" t="s">
        <v>1940</v>
      </c>
      <c r="J6" s="4" t="s">
        <v>70</v>
      </c>
      <c r="K6" s="4" t="s">
        <v>1965</v>
      </c>
    </row>
    <row r="7" spans="1:11" x14ac:dyDescent="0.2">
      <c r="A7" s="4" t="s">
        <v>1966</v>
      </c>
      <c r="B7" s="4" t="s">
        <v>1868</v>
      </c>
      <c r="C7" s="4" t="s">
        <v>1967</v>
      </c>
      <c r="D7" s="4" t="s">
        <v>1968</v>
      </c>
      <c r="E7" s="4" t="s">
        <v>1645</v>
      </c>
      <c r="F7" s="4" t="s">
        <v>1946</v>
      </c>
      <c r="G7" s="4" t="s">
        <v>49</v>
      </c>
      <c r="H7" s="4" t="s">
        <v>1939</v>
      </c>
      <c r="I7" s="4" t="s">
        <v>1969</v>
      </c>
      <c r="J7" s="4" t="s">
        <v>72</v>
      </c>
      <c r="K7" s="4" t="s">
        <v>1970</v>
      </c>
    </row>
    <row r="8" spans="1:11" x14ac:dyDescent="0.2">
      <c r="A8" s="4" t="s">
        <v>1971</v>
      </c>
      <c r="B8" s="4" t="s">
        <v>1865</v>
      </c>
      <c r="C8" s="4" t="s">
        <v>1972</v>
      </c>
      <c r="D8" s="4" t="s">
        <v>1973</v>
      </c>
      <c r="E8" s="4" t="s">
        <v>1974</v>
      </c>
      <c r="F8" s="4" t="s">
        <v>1975</v>
      </c>
      <c r="G8" s="4" t="s">
        <v>49</v>
      </c>
      <c r="H8" s="4" t="s">
        <v>1939</v>
      </c>
      <c r="I8" s="4" t="s">
        <v>1959</v>
      </c>
      <c r="J8" s="4" t="s">
        <v>69</v>
      </c>
      <c r="K8" s="4" t="s">
        <v>1976</v>
      </c>
    </row>
    <row r="9" spans="1:11" x14ac:dyDescent="0.2">
      <c r="A9" s="4" t="s">
        <v>1977</v>
      </c>
      <c r="B9" s="4" t="s">
        <v>1727</v>
      </c>
      <c r="C9" s="4" t="s">
        <v>1978</v>
      </c>
      <c r="D9" s="4" t="s">
        <v>1979</v>
      </c>
      <c r="E9" s="4" t="s">
        <v>1980</v>
      </c>
      <c r="F9" s="4" t="s">
        <v>1981</v>
      </c>
      <c r="G9" s="4" t="s">
        <v>48</v>
      </c>
      <c r="H9" s="4" t="s">
        <v>1939</v>
      </c>
      <c r="I9" s="4" t="s">
        <v>1940</v>
      </c>
      <c r="J9" s="4" t="s">
        <v>69</v>
      </c>
      <c r="K9" s="4" t="s">
        <v>1982</v>
      </c>
    </row>
    <row r="10" spans="1:11" x14ac:dyDescent="0.2">
      <c r="A10" s="4" t="s">
        <v>1983</v>
      </c>
      <c r="B10" s="4" t="s">
        <v>1836</v>
      </c>
      <c r="C10" s="4" t="s">
        <v>1984</v>
      </c>
      <c r="D10" s="4" t="s">
        <v>1985</v>
      </c>
      <c r="E10" s="4" t="s">
        <v>1986</v>
      </c>
      <c r="F10" s="4" t="s">
        <v>1975</v>
      </c>
      <c r="G10" s="4" t="s">
        <v>49</v>
      </c>
      <c r="H10" s="4" t="s">
        <v>1939</v>
      </c>
      <c r="I10" s="4" t="s">
        <v>1959</v>
      </c>
      <c r="J10" s="4" t="s">
        <v>69</v>
      </c>
      <c r="K10" s="4" t="s">
        <v>1987</v>
      </c>
    </row>
    <row r="11" spans="1:11" x14ac:dyDescent="0.2">
      <c r="A11" s="4" t="s">
        <v>1988</v>
      </c>
      <c r="B11" s="4" t="s">
        <v>1798</v>
      </c>
      <c r="C11" s="4" t="s">
        <v>1989</v>
      </c>
      <c r="D11" s="4" t="s">
        <v>1990</v>
      </c>
      <c r="E11" s="4" t="s">
        <v>1991</v>
      </c>
      <c r="F11" s="4" t="s">
        <v>1992</v>
      </c>
      <c r="G11" s="4" t="s">
        <v>48</v>
      </c>
      <c r="H11" s="4" t="s">
        <v>1939</v>
      </c>
      <c r="I11" s="4" t="s">
        <v>1959</v>
      </c>
      <c r="J11" s="4" t="s">
        <v>69</v>
      </c>
      <c r="K11" s="4" t="s">
        <v>1993</v>
      </c>
    </row>
    <row r="12" spans="1:11" x14ac:dyDescent="0.2">
      <c r="A12" s="4" t="s">
        <v>1994</v>
      </c>
      <c r="B12" s="4" t="s">
        <v>1848</v>
      </c>
      <c r="C12" s="4" t="s">
        <v>1995</v>
      </c>
      <c r="D12" s="4" t="s">
        <v>1996</v>
      </c>
      <c r="E12" s="4" t="s">
        <v>1882</v>
      </c>
      <c r="F12" s="4" t="s">
        <v>1958</v>
      </c>
      <c r="G12" s="4" t="s">
        <v>50</v>
      </c>
      <c r="H12" s="4" t="s">
        <v>1939</v>
      </c>
      <c r="I12" s="4" t="s">
        <v>1997</v>
      </c>
      <c r="J12" s="4" t="s">
        <v>72</v>
      </c>
      <c r="K12" s="4" t="s">
        <v>1998</v>
      </c>
    </row>
    <row r="13" spans="1:11" x14ac:dyDescent="0.2">
      <c r="A13" s="4" t="s">
        <v>1999</v>
      </c>
      <c r="B13" s="4" t="s">
        <v>1588</v>
      </c>
      <c r="C13" s="4" t="s">
        <v>2000</v>
      </c>
      <c r="D13" s="4" t="s">
        <v>2001</v>
      </c>
      <c r="E13" s="4" t="s">
        <v>1637</v>
      </c>
      <c r="F13" s="4" t="s">
        <v>2002</v>
      </c>
      <c r="G13" s="4" t="s">
        <v>49</v>
      </c>
      <c r="H13" s="4" t="s">
        <v>1939</v>
      </c>
      <c r="I13" s="4" t="s">
        <v>1997</v>
      </c>
      <c r="J13" s="4" t="s">
        <v>69</v>
      </c>
      <c r="K13" s="4" t="s">
        <v>2003</v>
      </c>
    </row>
    <row r="14" spans="1:11" x14ac:dyDescent="0.2">
      <c r="A14" s="4" t="s">
        <v>2004</v>
      </c>
      <c r="B14" s="4" t="s">
        <v>1639</v>
      </c>
      <c r="C14" s="4" t="s">
        <v>2005</v>
      </c>
      <c r="D14" s="4" t="s">
        <v>2006</v>
      </c>
      <c r="E14" s="4" t="s">
        <v>2007</v>
      </c>
      <c r="F14" s="4" t="s">
        <v>2002</v>
      </c>
      <c r="G14" s="4" t="s">
        <v>48</v>
      </c>
      <c r="H14" s="4" t="s">
        <v>1939</v>
      </c>
      <c r="I14" s="4" t="s">
        <v>1969</v>
      </c>
      <c r="J14" s="4" t="s">
        <v>72</v>
      </c>
      <c r="K14" s="4" t="s">
        <v>2008</v>
      </c>
    </row>
    <row r="15" spans="1:11" x14ac:dyDescent="0.2">
      <c r="A15" s="4" t="s">
        <v>2009</v>
      </c>
      <c r="B15" s="4" t="s">
        <v>1920</v>
      </c>
      <c r="C15" s="4" t="s">
        <v>2010</v>
      </c>
      <c r="D15" s="4" t="s">
        <v>2011</v>
      </c>
      <c r="E15" s="4" t="s">
        <v>2012</v>
      </c>
      <c r="F15" s="4" t="s">
        <v>1958</v>
      </c>
      <c r="G15" s="4" t="s">
        <v>49</v>
      </c>
      <c r="H15" s="4" t="s">
        <v>1939</v>
      </c>
      <c r="I15" s="4" t="s">
        <v>1959</v>
      </c>
      <c r="J15" s="4" t="s">
        <v>72</v>
      </c>
      <c r="K15" s="4" t="s">
        <v>2013</v>
      </c>
    </row>
    <row r="16" spans="1:11" x14ac:dyDescent="0.2">
      <c r="A16" s="4" t="s">
        <v>2014</v>
      </c>
      <c r="B16" s="4" t="s">
        <v>1742</v>
      </c>
      <c r="C16" s="4" t="s">
        <v>2015</v>
      </c>
      <c r="D16" s="4" t="s">
        <v>2016</v>
      </c>
      <c r="E16" s="4" t="s">
        <v>2017</v>
      </c>
      <c r="F16" s="4" t="s">
        <v>2018</v>
      </c>
      <c r="G16" s="4" t="s">
        <v>48</v>
      </c>
      <c r="H16" s="4" t="s">
        <v>1939</v>
      </c>
      <c r="I16" s="4" t="s">
        <v>1940</v>
      </c>
      <c r="J16" s="4" t="s">
        <v>72</v>
      </c>
      <c r="K16" s="4" t="s">
        <v>2019</v>
      </c>
    </row>
    <row r="17" spans="1:11" x14ac:dyDescent="0.2">
      <c r="A17" s="4" t="s">
        <v>2020</v>
      </c>
      <c r="B17" s="4" t="s">
        <v>1868</v>
      </c>
      <c r="C17" s="4" t="s">
        <v>1949</v>
      </c>
      <c r="D17" s="4" t="s">
        <v>2021</v>
      </c>
      <c r="E17" s="4" t="s">
        <v>2022</v>
      </c>
      <c r="F17" s="4" t="s">
        <v>1975</v>
      </c>
      <c r="G17" s="4" t="s">
        <v>49</v>
      </c>
      <c r="H17" s="4" t="s">
        <v>1939</v>
      </c>
      <c r="I17" s="4" t="s">
        <v>1959</v>
      </c>
      <c r="J17" s="4" t="s">
        <v>72</v>
      </c>
      <c r="K17" s="4" t="s">
        <v>1976</v>
      </c>
    </row>
    <row r="18" spans="1:11" x14ac:dyDescent="0.2">
      <c r="A18" s="4" t="s">
        <v>2023</v>
      </c>
      <c r="B18" s="4" t="s">
        <v>1805</v>
      </c>
      <c r="C18" s="4" t="s">
        <v>2024</v>
      </c>
      <c r="D18" s="4" t="s">
        <v>2025</v>
      </c>
      <c r="E18" s="4" t="s">
        <v>2026</v>
      </c>
      <c r="F18" s="4" t="s">
        <v>1992</v>
      </c>
      <c r="G18" s="4" t="s">
        <v>48</v>
      </c>
      <c r="H18" s="4" t="s">
        <v>1939</v>
      </c>
      <c r="I18" s="4" t="s">
        <v>1940</v>
      </c>
      <c r="J18" s="4" t="s">
        <v>70</v>
      </c>
      <c r="K18" s="4" t="s">
        <v>2027</v>
      </c>
    </row>
    <row r="19" spans="1:11" x14ac:dyDescent="0.2">
      <c r="A19" s="4" t="s">
        <v>2028</v>
      </c>
      <c r="B19" s="4" t="s">
        <v>1783</v>
      </c>
      <c r="C19" s="4" t="s">
        <v>2029</v>
      </c>
      <c r="D19" s="4" t="s">
        <v>2030</v>
      </c>
      <c r="E19" s="4" t="s">
        <v>2031</v>
      </c>
      <c r="F19" s="4" t="s">
        <v>2032</v>
      </c>
      <c r="G19" s="4" t="s">
        <v>50</v>
      </c>
      <c r="H19" s="4" t="s">
        <v>1939</v>
      </c>
      <c r="I19" s="4" t="s">
        <v>1969</v>
      </c>
      <c r="J19" s="4" t="s">
        <v>72</v>
      </c>
      <c r="K19" s="4" t="s">
        <v>2033</v>
      </c>
    </row>
    <row r="20" spans="1:11" x14ac:dyDescent="0.2">
      <c r="A20" s="4" t="s">
        <v>2034</v>
      </c>
      <c r="B20" s="4" t="s">
        <v>1772</v>
      </c>
      <c r="C20" s="4" t="s">
        <v>2035</v>
      </c>
      <c r="D20" s="4" t="s">
        <v>2036</v>
      </c>
      <c r="E20" s="4" t="s">
        <v>2037</v>
      </c>
      <c r="F20" s="4" t="s">
        <v>1992</v>
      </c>
      <c r="G20" s="4" t="s">
        <v>48</v>
      </c>
      <c r="H20" s="4" t="s">
        <v>1939</v>
      </c>
      <c r="I20" s="4" t="s">
        <v>1997</v>
      </c>
      <c r="J20" s="4" t="s">
        <v>70</v>
      </c>
      <c r="K20" s="4" t="s">
        <v>2038</v>
      </c>
    </row>
    <row r="21" spans="1:11" x14ac:dyDescent="0.2">
      <c r="A21" s="4" t="s">
        <v>2039</v>
      </c>
      <c r="B21" s="4" t="s">
        <v>1749</v>
      </c>
      <c r="C21" s="4" t="s">
        <v>2040</v>
      </c>
      <c r="D21" s="4" t="s">
        <v>2041</v>
      </c>
      <c r="E21" s="4" t="s">
        <v>2042</v>
      </c>
      <c r="F21" s="4" t="s">
        <v>2043</v>
      </c>
      <c r="G21" s="4" t="s">
        <v>48</v>
      </c>
      <c r="H21" s="4" t="s">
        <v>1939</v>
      </c>
      <c r="I21" s="4" t="s">
        <v>1969</v>
      </c>
      <c r="J21" s="4" t="s">
        <v>72</v>
      </c>
      <c r="K21" s="4" t="s">
        <v>2044</v>
      </c>
    </row>
    <row r="22" spans="1:11" x14ac:dyDescent="0.2">
      <c r="A22" s="4" t="s">
        <v>2045</v>
      </c>
      <c r="B22" s="4" t="s">
        <v>1764</v>
      </c>
      <c r="C22" s="4" t="s">
        <v>2046</v>
      </c>
      <c r="D22" s="4" t="s">
        <v>2047</v>
      </c>
      <c r="E22" s="4" t="s">
        <v>2048</v>
      </c>
      <c r="F22" s="4" t="s">
        <v>1981</v>
      </c>
      <c r="G22" s="4" t="s">
        <v>48</v>
      </c>
      <c r="H22" s="4" t="s">
        <v>1939</v>
      </c>
      <c r="I22" s="4" t="s">
        <v>1997</v>
      </c>
      <c r="J22" s="4" t="s">
        <v>69</v>
      </c>
      <c r="K22" s="4" t="s">
        <v>2049</v>
      </c>
    </row>
    <row r="23" spans="1:11" x14ac:dyDescent="0.2">
      <c r="A23" s="4" t="s">
        <v>2050</v>
      </c>
      <c r="B23" s="4" t="s">
        <v>1868</v>
      </c>
      <c r="C23" s="4" t="s">
        <v>1967</v>
      </c>
      <c r="D23" s="4" t="s">
        <v>2051</v>
      </c>
      <c r="E23" s="4" t="s">
        <v>2052</v>
      </c>
      <c r="F23" s="4" t="s">
        <v>2002</v>
      </c>
      <c r="G23" s="4" t="s">
        <v>49</v>
      </c>
      <c r="H23" s="4" t="s">
        <v>1939</v>
      </c>
      <c r="I23" s="4" t="s">
        <v>1940</v>
      </c>
      <c r="J23" s="4" t="s">
        <v>69</v>
      </c>
      <c r="K23" s="4" t="s">
        <v>2053</v>
      </c>
    </row>
    <row r="24" spans="1:11" x14ac:dyDescent="0.2">
      <c r="A24" s="4" t="s">
        <v>2054</v>
      </c>
      <c r="B24" s="4" t="s">
        <v>1635</v>
      </c>
      <c r="C24" s="4" t="s">
        <v>2055</v>
      </c>
      <c r="D24" s="4" t="s">
        <v>2056</v>
      </c>
      <c r="E24" s="4" t="s">
        <v>1738</v>
      </c>
      <c r="F24" s="4" t="s">
        <v>2032</v>
      </c>
      <c r="G24" s="4" t="s">
        <v>50</v>
      </c>
      <c r="H24" s="4" t="s">
        <v>2057</v>
      </c>
      <c r="I24" s="4" t="s">
        <v>1997</v>
      </c>
      <c r="J24" s="4" t="s">
        <v>68</v>
      </c>
      <c r="K24" s="4" t="s">
        <v>2058</v>
      </c>
    </row>
    <row r="25" spans="1:11" x14ac:dyDescent="0.2">
      <c r="A25" s="4" t="s">
        <v>2059</v>
      </c>
      <c r="B25" s="4" t="s">
        <v>1647</v>
      </c>
      <c r="C25" s="4" t="s">
        <v>2060</v>
      </c>
      <c r="D25" s="4" t="s">
        <v>2061</v>
      </c>
      <c r="E25" s="4" t="s">
        <v>2062</v>
      </c>
      <c r="F25" s="4" t="s">
        <v>1981</v>
      </c>
      <c r="G25" s="4" t="s">
        <v>48</v>
      </c>
      <c r="H25" s="4" t="s">
        <v>1939</v>
      </c>
      <c r="I25" s="4" t="s">
        <v>1940</v>
      </c>
      <c r="J25" s="4" t="s">
        <v>70</v>
      </c>
      <c r="K25" s="4" t="s">
        <v>2063</v>
      </c>
    </row>
    <row r="26" spans="1:11" x14ac:dyDescent="0.2">
      <c r="A26" s="4" t="s">
        <v>2064</v>
      </c>
      <c r="B26" s="4" t="s">
        <v>1790</v>
      </c>
      <c r="C26" s="4" t="s">
        <v>2065</v>
      </c>
      <c r="D26" s="4" t="s">
        <v>2066</v>
      </c>
      <c r="E26" s="4" t="s">
        <v>2067</v>
      </c>
      <c r="F26" s="4" t="s">
        <v>2032</v>
      </c>
      <c r="G26" s="4" t="s">
        <v>49</v>
      </c>
      <c r="H26" s="4" t="s">
        <v>1939</v>
      </c>
      <c r="I26" s="4" t="s">
        <v>1940</v>
      </c>
      <c r="J26" s="4" t="s">
        <v>69</v>
      </c>
      <c r="K26" s="4" t="s">
        <v>2068</v>
      </c>
    </row>
    <row r="27" spans="1:11" x14ac:dyDescent="0.2">
      <c r="A27" s="4" t="s">
        <v>2069</v>
      </c>
      <c r="B27" s="4" t="s">
        <v>1764</v>
      </c>
      <c r="C27" s="4" t="s">
        <v>2046</v>
      </c>
      <c r="D27" s="4" t="s">
        <v>2070</v>
      </c>
      <c r="E27" s="4" t="s">
        <v>2071</v>
      </c>
      <c r="F27" s="4" t="s">
        <v>1981</v>
      </c>
      <c r="G27" s="4" t="s">
        <v>48</v>
      </c>
      <c r="H27" s="4" t="s">
        <v>1939</v>
      </c>
      <c r="I27" s="4" t="s">
        <v>1969</v>
      </c>
      <c r="J27" s="4" t="s">
        <v>70</v>
      </c>
      <c r="K27" s="4" t="s">
        <v>2072</v>
      </c>
    </row>
    <row r="28" spans="1:11" x14ac:dyDescent="0.2">
      <c r="A28" s="4" t="s">
        <v>2073</v>
      </c>
      <c r="B28" s="4" t="s">
        <v>1798</v>
      </c>
      <c r="C28" s="4" t="s">
        <v>2074</v>
      </c>
      <c r="D28" s="4" t="s">
        <v>2075</v>
      </c>
      <c r="E28" s="4" t="s">
        <v>2076</v>
      </c>
      <c r="F28" s="4" t="s">
        <v>1958</v>
      </c>
      <c r="G28" s="4" t="s">
        <v>48</v>
      </c>
      <c r="H28" s="4" t="s">
        <v>1939</v>
      </c>
      <c r="I28" s="4" t="s">
        <v>1997</v>
      </c>
      <c r="J28" s="4" t="s">
        <v>70</v>
      </c>
      <c r="K28" s="4" t="s">
        <v>2077</v>
      </c>
    </row>
    <row r="29" spans="1:11" x14ac:dyDescent="0.2">
      <c r="A29" s="4" t="s">
        <v>2078</v>
      </c>
      <c r="B29" s="4" t="s">
        <v>1531</v>
      </c>
      <c r="C29" s="4" t="s">
        <v>2079</v>
      </c>
      <c r="D29" s="4" t="s">
        <v>2080</v>
      </c>
      <c r="E29" s="4" t="s">
        <v>2081</v>
      </c>
      <c r="F29" s="4" t="s">
        <v>2043</v>
      </c>
      <c r="G29" s="4" t="s">
        <v>48</v>
      </c>
      <c r="H29" s="4" t="s">
        <v>1939</v>
      </c>
      <c r="I29" s="4" t="s">
        <v>1997</v>
      </c>
      <c r="J29" s="4" t="s">
        <v>72</v>
      </c>
      <c r="K29" s="4" t="s">
        <v>2082</v>
      </c>
    </row>
    <row r="30" spans="1:11" x14ac:dyDescent="0.2">
      <c r="A30" s="4" t="s">
        <v>2083</v>
      </c>
      <c r="B30" s="4" t="s">
        <v>1746</v>
      </c>
      <c r="C30" s="4" t="s">
        <v>2084</v>
      </c>
      <c r="D30" s="4" t="s">
        <v>2085</v>
      </c>
      <c r="E30" s="4" t="s">
        <v>2086</v>
      </c>
      <c r="F30" s="4" t="s">
        <v>1938</v>
      </c>
      <c r="G30" s="4" t="s">
        <v>48</v>
      </c>
      <c r="H30" s="4" t="s">
        <v>1939</v>
      </c>
      <c r="I30" s="4" t="s">
        <v>1969</v>
      </c>
      <c r="J30" s="4" t="s">
        <v>69</v>
      </c>
      <c r="K30" s="4" t="s">
        <v>2087</v>
      </c>
    </row>
    <row r="31" spans="1:11" x14ac:dyDescent="0.2">
      <c r="A31" s="4" t="s">
        <v>2088</v>
      </c>
      <c r="B31" s="4" t="s">
        <v>1832</v>
      </c>
      <c r="C31" s="4" t="s">
        <v>2089</v>
      </c>
      <c r="D31" s="4" t="s">
        <v>2090</v>
      </c>
      <c r="E31" s="4" t="s">
        <v>2091</v>
      </c>
      <c r="F31" s="4" t="s">
        <v>1964</v>
      </c>
      <c r="G31" s="4" t="s">
        <v>48</v>
      </c>
      <c r="H31" s="4" t="s">
        <v>1939</v>
      </c>
      <c r="I31" s="4" t="s">
        <v>1997</v>
      </c>
      <c r="J31" s="4" t="s">
        <v>69</v>
      </c>
      <c r="K31" s="4" t="s">
        <v>2092</v>
      </c>
    </row>
    <row r="32" spans="1:11" x14ac:dyDescent="0.2">
      <c r="A32" s="4" t="s">
        <v>2093</v>
      </c>
      <c r="B32" s="4" t="s">
        <v>1879</v>
      </c>
      <c r="C32" s="4" t="s">
        <v>2094</v>
      </c>
      <c r="D32" s="4" t="s">
        <v>2095</v>
      </c>
      <c r="E32" s="4" t="s">
        <v>2096</v>
      </c>
      <c r="F32" s="4" t="s">
        <v>2032</v>
      </c>
      <c r="G32" s="4" t="s">
        <v>48</v>
      </c>
      <c r="H32" s="4" t="s">
        <v>1939</v>
      </c>
      <c r="I32" s="4" t="s">
        <v>1997</v>
      </c>
      <c r="J32" s="4" t="s">
        <v>69</v>
      </c>
      <c r="K32" s="4" t="s">
        <v>2097</v>
      </c>
    </row>
    <row r="33" spans="1:11" x14ac:dyDescent="0.2">
      <c r="A33" s="4" t="s">
        <v>2098</v>
      </c>
      <c r="B33" s="4" t="s">
        <v>1911</v>
      </c>
      <c r="C33" s="4" t="s">
        <v>2099</v>
      </c>
      <c r="D33" s="4" t="s">
        <v>2100</v>
      </c>
      <c r="E33" s="4" t="s">
        <v>2101</v>
      </c>
      <c r="F33" s="4" t="s">
        <v>2102</v>
      </c>
      <c r="G33" s="4" t="s">
        <v>50</v>
      </c>
      <c r="H33" s="4" t="s">
        <v>1939</v>
      </c>
      <c r="I33" s="4" t="s">
        <v>1940</v>
      </c>
      <c r="J33" s="4" t="s">
        <v>72</v>
      </c>
      <c r="K33" s="4" t="s">
        <v>2103</v>
      </c>
    </row>
    <row r="34" spans="1:11" x14ac:dyDescent="0.2">
      <c r="A34" s="4" t="s">
        <v>2104</v>
      </c>
      <c r="B34" s="4" t="s">
        <v>1643</v>
      </c>
      <c r="C34" s="4" t="s">
        <v>2105</v>
      </c>
      <c r="D34" s="4" t="s">
        <v>2106</v>
      </c>
      <c r="E34" s="4" t="s">
        <v>2107</v>
      </c>
      <c r="F34" s="4" t="s">
        <v>2108</v>
      </c>
      <c r="G34" s="4" t="s">
        <v>48</v>
      </c>
      <c r="H34" s="4" t="s">
        <v>1939</v>
      </c>
      <c r="I34" s="4" t="s">
        <v>1959</v>
      </c>
      <c r="J34" s="4" t="s">
        <v>69</v>
      </c>
      <c r="K34" s="4" t="s">
        <v>2109</v>
      </c>
    </row>
    <row r="35" spans="1:11" x14ac:dyDescent="0.2">
      <c r="A35" s="4" t="s">
        <v>2110</v>
      </c>
      <c r="B35" s="4" t="s">
        <v>1670</v>
      </c>
      <c r="C35" s="4" t="s">
        <v>1955</v>
      </c>
      <c r="D35" s="4" t="s">
        <v>2111</v>
      </c>
      <c r="E35" s="4" t="s">
        <v>2112</v>
      </c>
      <c r="F35" s="4" t="s">
        <v>2102</v>
      </c>
      <c r="G35" s="4" t="s">
        <v>50</v>
      </c>
      <c r="H35" s="4" t="s">
        <v>2057</v>
      </c>
      <c r="I35" s="4" t="s">
        <v>1940</v>
      </c>
      <c r="J35" s="4" t="s">
        <v>70</v>
      </c>
      <c r="K35" s="4" t="s">
        <v>2113</v>
      </c>
    </row>
    <row r="36" spans="1:11" x14ac:dyDescent="0.2">
      <c r="A36" s="4" t="s">
        <v>2114</v>
      </c>
      <c r="B36" s="4" t="s">
        <v>1583</v>
      </c>
      <c r="C36" s="4" t="s">
        <v>2115</v>
      </c>
      <c r="D36" s="4" t="s">
        <v>2116</v>
      </c>
      <c r="E36" s="4" t="s">
        <v>2117</v>
      </c>
      <c r="F36" s="4" t="s">
        <v>1952</v>
      </c>
      <c r="G36" s="4" t="s">
        <v>48</v>
      </c>
      <c r="H36" s="4" t="s">
        <v>1939</v>
      </c>
      <c r="I36" s="4" t="s">
        <v>1959</v>
      </c>
      <c r="J36" s="4" t="s">
        <v>72</v>
      </c>
      <c r="K36" s="4" t="s">
        <v>2118</v>
      </c>
    </row>
    <row r="37" spans="1:11" x14ac:dyDescent="0.2">
      <c r="A37" s="4" t="s">
        <v>2119</v>
      </c>
      <c r="B37" s="4" t="s">
        <v>1681</v>
      </c>
      <c r="C37" s="4" t="s">
        <v>2120</v>
      </c>
      <c r="D37" s="4" t="s">
        <v>2121</v>
      </c>
      <c r="E37" s="4" t="s">
        <v>2122</v>
      </c>
      <c r="F37" s="4" t="s">
        <v>2018</v>
      </c>
      <c r="G37" s="4" t="s">
        <v>48</v>
      </c>
      <c r="H37" s="4" t="s">
        <v>1939</v>
      </c>
      <c r="I37" s="4" t="s">
        <v>1959</v>
      </c>
      <c r="J37" s="4" t="s">
        <v>72</v>
      </c>
      <c r="K37" s="4" t="s">
        <v>2123</v>
      </c>
    </row>
    <row r="38" spans="1:11" x14ac:dyDescent="0.2">
      <c r="A38" s="4" t="s">
        <v>2124</v>
      </c>
      <c r="B38" s="4" t="s">
        <v>1883</v>
      </c>
      <c r="C38" s="4" t="s">
        <v>2125</v>
      </c>
      <c r="D38" s="4" t="s">
        <v>2126</v>
      </c>
      <c r="E38" s="4" t="s">
        <v>2127</v>
      </c>
      <c r="F38" s="4" t="s">
        <v>2128</v>
      </c>
      <c r="G38" s="4" t="s">
        <v>48</v>
      </c>
      <c r="H38" s="4" t="s">
        <v>1939</v>
      </c>
      <c r="I38" s="4" t="s">
        <v>1940</v>
      </c>
      <c r="J38" s="4" t="s">
        <v>70</v>
      </c>
      <c r="K38" s="4" t="s">
        <v>2129</v>
      </c>
    </row>
    <row r="39" spans="1:11" x14ac:dyDescent="0.2">
      <c r="A39" s="4" t="s">
        <v>2130</v>
      </c>
      <c r="B39" s="4" t="s">
        <v>1798</v>
      </c>
      <c r="C39" s="4" t="s">
        <v>2131</v>
      </c>
      <c r="D39" s="4" t="s">
        <v>2132</v>
      </c>
      <c r="E39" s="4" t="s">
        <v>2133</v>
      </c>
      <c r="F39" s="4" t="s">
        <v>1975</v>
      </c>
      <c r="G39" s="4" t="s">
        <v>48</v>
      </c>
      <c r="H39" s="4" t="s">
        <v>1939</v>
      </c>
      <c r="I39" s="4" t="s">
        <v>1997</v>
      </c>
      <c r="J39" s="4" t="s">
        <v>72</v>
      </c>
      <c r="K39" s="4" t="s">
        <v>2134</v>
      </c>
    </row>
    <row r="40" spans="1:11" x14ac:dyDescent="0.2">
      <c r="A40" s="4" t="s">
        <v>2135</v>
      </c>
      <c r="B40" s="4" t="s">
        <v>1902</v>
      </c>
      <c r="C40" s="4" t="s">
        <v>2136</v>
      </c>
      <c r="D40" s="4" t="s">
        <v>2137</v>
      </c>
      <c r="E40" s="4" t="s">
        <v>2138</v>
      </c>
      <c r="F40" s="4" t="s">
        <v>1992</v>
      </c>
      <c r="G40" s="4" t="s">
        <v>48</v>
      </c>
      <c r="H40" s="4" t="s">
        <v>1939</v>
      </c>
      <c r="I40" s="4" t="s">
        <v>1997</v>
      </c>
      <c r="J40" s="4" t="s">
        <v>72</v>
      </c>
      <c r="K40" s="4" t="s">
        <v>2139</v>
      </c>
    </row>
    <row r="41" spans="1:11" x14ac:dyDescent="0.2">
      <c r="A41" s="4" t="s">
        <v>2140</v>
      </c>
      <c r="B41" s="4" t="s">
        <v>1643</v>
      </c>
      <c r="C41" s="4" t="s">
        <v>2141</v>
      </c>
      <c r="D41" s="4" t="s">
        <v>2142</v>
      </c>
      <c r="E41" s="4" t="s">
        <v>2143</v>
      </c>
      <c r="F41" s="4" t="s">
        <v>1946</v>
      </c>
      <c r="G41" s="4" t="s">
        <v>49</v>
      </c>
      <c r="H41" s="4" t="s">
        <v>1939</v>
      </c>
      <c r="I41" s="4" t="s">
        <v>1969</v>
      </c>
      <c r="J41" s="4" t="s">
        <v>69</v>
      </c>
      <c r="K41" s="4" t="s">
        <v>2144</v>
      </c>
    </row>
    <row r="42" spans="1:11" x14ac:dyDescent="0.2">
      <c r="A42" s="4" t="s">
        <v>2145</v>
      </c>
      <c r="B42" s="4" t="s">
        <v>1600</v>
      </c>
      <c r="C42" s="4" t="s">
        <v>2146</v>
      </c>
      <c r="D42" s="4" t="s">
        <v>2147</v>
      </c>
      <c r="E42" s="4" t="s">
        <v>2148</v>
      </c>
      <c r="F42" s="4" t="s">
        <v>1952</v>
      </c>
      <c r="G42" s="4" t="s">
        <v>49</v>
      </c>
      <c r="H42" s="4" t="s">
        <v>1939</v>
      </c>
      <c r="I42" s="4" t="s">
        <v>1940</v>
      </c>
      <c r="J42" s="4" t="s">
        <v>72</v>
      </c>
      <c r="K42" s="4" t="s">
        <v>2149</v>
      </c>
    </row>
    <row r="43" spans="1:11" x14ac:dyDescent="0.2">
      <c r="A43" s="4" t="s">
        <v>2150</v>
      </c>
      <c r="B43" s="4" t="s">
        <v>1787</v>
      </c>
      <c r="C43" s="4" t="s">
        <v>2151</v>
      </c>
      <c r="D43" s="4" t="s">
        <v>2152</v>
      </c>
      <c r="E43" s="4" t="s">
        <v>2153</v>
      </c>
      <c r="F43" s="4" t="s">
        <v>2032</v>
      </c>
      <c r="G43" s="4" t="s">
        <v>50</v>
      </c>
      <c r="H43" s="4" t="s">
        <v>2057</v>
      </c>
      <c r="I43" s="4" t="s">
        <v>1997</v>
      </c>
      <c r="J43" s="4" t="s">
        <v>69</v>
      </c>
      <c r="K43" s="4" t="s">
        <v>2154</v>
      </c>
    </row>
    <row r="44" spans="1:11" x14ac:dyDescent="0.2">
      <c r="A44" s="4" t="s">
        <v>2155</v>
      </c>
      <c r="B44" s="4" t="s">
        <v>1531</v>
      </c>
      <c r="C44" s="4" t="s">
        <v>2156</v>
      </c>
      <c r="D44" s="4" t="s">
        <v>2157</v>
      </c>
      <c r="E44" s="4" t="s">
        <v>2158</v>
      </c>
      <c r="F44" s="4" t="s">
        <v>2159</v>
      </c>
      <c r="G44" s="4" t="s">
        <v>48</v>
      </c>
      <c r="H44" s="4" t="s">
        <v>1939</v>
      </c>
      <c r="I44" s="4" t="s">
        <v>1997</v>
      </c>
      <c r="J44" s="4" t="s">
        <v>70</v>
      </c>
      <c r="K44" s="4" t="s">
        <v>2160</v>
      </c>
    </row>
    <row r="45" spans="1:11" x14ac:dyDescent="0.2">
      <c r="A45" s="4" t="s">
        <v>2161</v>
      </c>
      <c r="B45" s="4" t="s">
        <v>1906</v>
      </c>
      <c r="C45" s="4" t="s">
        <v>2162</v>
      </c>
      <c r="D45" s="4" t="s">
        <v>2163</v>
      </c>
      <c r="E45" s="4" t="s">
        <v>2164</v>
      </c>
      <c r="F45" s="4" t="s">
        <v>2002</v>
      </c>
      <c r="G45" s="4" t="s">
        <v>48</v>
      </c>
      <c r="H45" s="4" t="s">
        <v>1939</v>
      </c>
      <c r="I45" s="4" t="s">
        <v>1969</v>
      </c>
      <c r="J45" s="4" t="s">
        <v>69</v>
      </c>
      <c r="K45" s="4" t="s">
        <v>2165</v>
      </c>
    </row>
    <row r="46" spans="1:11" x14ac:dyDescent="0.2">
      <c r="A46" s="4" t="s">
        <v>2166</v>
      </c>
      <c r="B46" s="4" t="s">
        <v>1511</v>
      </c>
      <c r="C46" s="4" t="s">
        <v>2167</v>
      </c>
      <c r="D46" s="4" t="s">
        <v>2168</v>
      </c>
      <c r="E46" s="4" t="s">
        <v>2169</v>
      </c>
      <c r="F46" s="4" t="s">
        <v>2108</v>
      </c>
      <c r="G46" s="4" t="s">
        <v>48</v>
      </c>
      <c r="H46" s="4" t="s">
        <v>1939</v>
      </c>
      <c r="I46" s="4" t="s">
        <v>1997</v>
      </c>
      <c r="J46" s="4" t="s">
        <v>70</v>
      </c>
      <c r="K46" s="4" t="s">
        <v>2109</v>
      </c>
    </row>
    <row r="47" spans="1:11" x14ac:dyDescent="0.2">
      <c r="A47" s="4" t="s">
        <v>2170</v>
      </c>
      <c r="B47" s="4" t="s">
        <v>1764</v>
      </c>
      <c r="C47" s="4" t="s">
        <v>2046</v>
      </c>
      <c r="D47" s="4" t="s">
        <v>2171</v>
      </c>
      <c r="E47" s="4" t="s">
        <v>2172</v>
      </c>
      <c r="F47" s="4" t="s">
        <v>2032</v>
      </c>
      <c r="G47" s="4" t="s">
        <v>48</v>
      </c>
      <c r="H47" s="4" t="s">
        <v>1939</v>
      </c>
      <c r="I47" s="4" t="s">
        <v>1997</v>
      </c>
      <c r="J47" s="4" t="s">
        <v>70</v>
      </c>
      <c r="K47" s="4" t="s">
        <v>2173</v>
      </c>
    </row>
    <row r="48" spans="1:11" x14ac:dyDescent="0.2">
      <c r="A48" s="4" t="s">
        <v>2174</v>
      </c>
      <c r="B48" s="4" t="s">
        <v>1498</v>
      </c>
      <c r="C48" s="4" t="s">
        <v>2175</v>
      </c>
      <c r="D48" s="4" t="s">
        <v>2176</v>
      </c>
      <c r="E48" s="4" t="s">
        <v>2177</v>
      </c>
      <c r="F48" s="4" t="s">
        <v>2108</v>
      </c>
      <c r="G48" s="4" t="s">
        <v>49</v>
      </c>
      <c r="H48" s="4" t="s">
        <v>1939</v>
      </c>
      <c r="I48" s="4" t="s">
        <v>1997</v>
      </c>
      <c r="J48" s="4" t="s">
        <v>72</v>
      </c>
      <c r="K48" s="4" t="s">
        <v>2178</v>
      </c>
    </row>
    <row r="49" spans="1:11" x14ac:dyDescent="0.2">
      <c r="A49" s="4" t="s">
        <v>2179</v>
      </c>
      <c r="B49" s="4" t="s">
        <v>1816</v>
      </c>
      <c r="C49" s="4" t="s">
        <v>2180</v>
      </c>
      <c r="D49" s="4" t="s">
        <v>2181</v>
      </c>
      <c r="E49" s="4" t="s">
        <v>2182</v>
      </c>
      <c r="F49" s="4" t="s">
        <v>2002</v>
      </c>
      <c r="G49" s="4" t="s">
        <v>48</v>
      </c>
      <c r="H49" s="4" t="s">
        <v>1939</v>
      </c>
      <c r="I49" s="4" t="s">
        <v>1940</v>
      </c>
      <c r="J49" s="4" t="s">
        <v>72</v>
      </c>
      <c r="K49" s="4" t="s">
        <v>2183</v>
      </c>
    </row>
    <row r="50" spans="1:11" x14ac:dyDescent="0.2">
      <c r="A50" s="4" t="s">
        <v>2184</v>
      </c>
      <c r="B50" s="4" t="s">
        <v>1742</v>
      </c>
      <c r="C50" s="4" t="s">
        <v>2185</v>
      </c>
      <c r="D50" s="4" t="s">
        <v>2186</v>
      </c>
      <c r="E50" s="4" t="s">
        <v>2187</v>
      </c>
      <c r="F50" s="4" t="s">
        <v>2032</v>
      </c>
      <c r="G50" s="4" t="s">
        <v>50</v>
      </c>
      <c r="H50" s="4" t="s">
        <v>1939</v>
      </c>
      <c r="I50" s="4" t="s">
        <v>1969</v>
      </c>
      <c r="J50" s="4" t="s">
        <v>72</v>
      </c>
      <c r="K50" s="4" t="s">
        <v>2188</v>
      </c>
    </row>
    <row r="51" spans="1:11" x14ac:dyDescent="0.2">
      <c r="A51" s="4" t="s">
        <v>2189</v>
      </c>
      <c r="B51" s="4" t="s">
        <v>1702</v>
      </c>
      <c r="C51" s="4" t="s">
        <v>2190</v>
      </c>
      <c r="D51" s="4" t="s">
        <v>2191</v>
      </c>
      <c r="E51" s="4" t="s">
        <v>2192</v>
      </c>
      <c r="F51" s="4" t="s">
        <v>2193</v>
      </c>
      <c r="G51" s="4" t="s">
        <v>48</v>
      </c>
      <c r="H51" s="4" t="s">
        <v>1939</v>
      </c>
      <c r="I51" s="4" t="s">
        <v>1940</v>
      </c>
      <c r="J51" s="4" t="s">
        <v>69</v>
      </c>
      <c r="K51" s="4" t="s">
        <v>2194</v>
      </c>
    </row>
    <row r="52" spans="1:11" x14ac:dyDescent="0.2">
      <c r="A52" s="4" t="s">
        <v>2195</v>
      </c>
      <c r="B52" s="4" t="s">
        <v>1756</v>
      </c>
      <c r="C52" s="4" t="s">
        <v>2196</v>
      </c>
      <c r="D52" s="4" t="s">
        <v>2197</v>
      </c>
      <c r="E52" s="4" t="s">
        <v>1762</v>
      </c>
      <c r="F52" s="4" t="s">
        <v>2198</v>
      </c>
      <c r="G52" s="4" t="s">
        <v>48</v>
      </c>
      <c r="H52" s="4" t="s">
        <v>1939</v>
      </c>
      <c r="I52" s="4" t="s">
        <v>1969</v>
      </c>
      <c r="J52" s="4" t="s">
        <v>72</v>
      </c>
      <c r="K52" s="4" t="s">
        <v>2199</v>
      </c>
    </row>
    <row r="53" spans="1:11" x14ac:dyDescent="0.2">
      <c r="A53" s="4" t="s">
        <v>2200</v>
      </c>
      <c r="B53" s="4" t="s">
        <v>1756</v>
      </c>
      <c r="C53" s="4" t="s">
        <v>2196</v>
      </c>
      <c r="D53" s="4" t="s">
        <v>2201</v>
      </c>
      <c r="E53" s="4" t="s">
        <v>2202</v>
      </c>
      <c r="F53" s="4" t="s">
        <v>1952</v>
      </c>
      <c r="G53" s="4" t="s">
        <v>50</v>
      </c>
      <c r="H53" s="4" t="s">
        <v>2057</v>
      </c>
      <c r="I53" s="4" t="s">
        <v>1969</v>
      </c>
      <c r="J53" s="4" t="s">
        <v>71</v>
      </c>
      <c r="K53" s="4" t="s">
        <v>2203</v>
      </c>
    </row>
    <row r="54" spans="1:11" x14ac:dyDescent="0.2">
      <c r="A54" s="4" t="s">
        <v>2204</v>
      </c>
      <c r="B54" s="4" t="s">
        <v>1643</v>
      </c>
      <c r="C54" s="4" t="s">
        <v>2205</v>
      </c>
      <c r="D54" s="4" t="s">
        <v>2206</v>
      </c>
      <c r="E54" s="4" t="s">
        <v>2207</v>
      </c>
      <c r="F54" s="4" t="s">
        <v>2043</v>
      </c>
      <c r="G54" s="4" t="s">
        <v>48</v>
      </c>
      <c r="H54" s="4" t="s">
        <v>1939</v>
      </c>
      <c r="I54" s="4" t="s">
        <v>1969</v>
      </c>
      <c r="J54" s="4" t="s">
        <v>72</v>
      </c>
      <c r="K54" s="4" t="s">
        <v>2208</v>
      </c>
    </row>
    <row r="55" spans="1:11" x14ac:dyDescent="0.2">
      <c r="A55" s="4" t="s">
        <v>2209</v>
      </c>
      <c r="B55" s="4" t="s">
        <v>1691</v>
      </c>
      <c r="C55" s="4" t="s">
        <v>2210</v>
      </c>
      <c r="D55" s="4" t="s">
        <v>2211</v>
      </c>
      <c r="E55" s="4" t="s">
        <v>2212</v>
      </c>
      <c r="F55" s="4" t="s">
        <v>1964</v>
      </c>
      <c r="G55" s="4" t="s">
        <v>48</v>
      </c>
      <c r="H55" s="4" t="s">
        <v>1939</v>
      </c>
      <c r="I55" s="4" t="s">
        <v>1940</v>
      </c>
      <c r="J55" s="4" t="s">
        <v>69</v>
      </c>
      <c r="K55" s="4" t="s">
        <v>2213</v>
      </c>
    </row>
    <row r="56" spans="1:11" x14ac:dyDescent="0.2">
      <c r="A56" s="4" t="s">
        <v>2214</v>
      </c>
      <c r="B56" s="4" t="s">
        <v>1739</v>
      </c>
      <c r="C56" s="4" t="s">
        <v>2215</v>
      </c>
      <c r="D56" s="4" t="s">
        <v>2216</v>
      </c>
      <c r="E56" s="4" t="s">
        <v>1847</v>
      </c>
      <c r="F56" s="4" t="s">
        <v>2217</v>
      </c>
      <c r="G56" s="4" t="s">
        <v>48</v>
      </c>
      <c r="H56" s="4" t="s">
        <v>1939</v>
      </c>
      <c r="I56" s="4" t="s">
        <v>1959</v>
      </c>
      <c r="J56" s="4" t="s">
        <v>69</v>
      </c>
      <c r="K56" s="4" t="s">
        <v>2218</v>
      </c>
    </row>
    <row r="57" spans="1:11" x14ac:dyDescent="0.2">
      <c r="A57" s="4" t="s">
        <v>2219</v>
      </c>
      <c r="B57" s="4" t="s">
        <v>1651</v>
      </c>
      <c r="C57" s="4" t="s">
        <v>2220</v>
      </c>
      <c r="D57" s="4" t="s">
        <v>2221</v>
      </c>
      <c r="E57" s="4" t="s">
        <v>2222</v>
      </c>
      <c r="F57" s="4" t="s">
        <v>1981</v>
      </c>
      <c r="G57" s="4" t="s">
        <v>50</v>
      </c>
      <c r="H57" s="4" t="s">
        <v>1939</v>
      </c>
      <c r="I57" s="4" t="s">
        <v>1969</v>
      </c>
      <c r="J57" s="4" t="s">
        <v>70</v>
      </c>
      <c r="K57" s="4" t="s">
        <v>2223</v>
      </c>
    </row>
    <row r="58" spans="1:11" x14ac:dyDescent="0.2">
      <c r="A58" s="4" t="s">
        <v>2224</v>
      </c>
      <c r="B58" s="4" t="s">
        <v>1779</v>
      </c>
      <c r="C58" s="4" t="s">
        <v>2225</v>
      </c>
      <c r="D58" s="4" t="s">
        <v>2226</v>
      </c>
      <c r="E58" s="4" t="s">
        <v>2227</v>
      </c>
      <c r="F58" s="4" t="s">
        <v>2002</v>
      </c>
      <c r="G58" s="4" t="s">
        <v>48</v>
      </c>
      <c r="H58" s="4" t="s">
        <v>1939</v>
      </c>
      <c r="I58" s="4" t="s">
        <v>1940</v>
      </c>
      <c r="J58" s="4" t="s">
        <v>69</v>
      </c>
      <c r="K58" s="4" t="s">
        <v>2228</v>
      </c>
    </row>
    <row r="59" spans="1:11" x14ac:dyDescent="0.2">
      <c r="A59" s="4" t="s">
        <v>2229</v>
      </c>
      <c r="B59" s="4" t="s">
        <v>1505</v>
      </c>
      <c r="C59" s="4" t="s">
        <v>2230</v>
      </c>
      <c r="D59" s="4" t="s">
        <v>2231</v>
      </c>
      <c r="E59" s="4" t="s">
        <v>2232</v>
      </c>
      <c r="F59" s="4" t="s">
        <v>2193</v>
      </c>
      <c r="G59" s="4" t="s">
        <v>48</v>
      </c>
      <c r="H59" s="4" t="s">
        <v>1939</v>
      </c>
      <c r="I59" s="4" t="s">
        <v>1997</v>
      </c>
      <c r="J59" s="4" t="s">
        <v>69</v>
      </c>
      <c r="K59" s="4" t="s">
        <v>2233</v>
      </c>
    </row>
    <row r="60" spans="1:11" x14ac:dyDescent="0.2">
      <c r="A60" s="4" t="s">
        <v>2234</v>
      </c>
      <c r="B60" s="4" t="s">
        <v>1576</v>
      </c>
      <c r="C60" s="4" t="s">
        <v>2235</v>
      </c>
      <c r="D60" s="4" t="s">
        <v>2236</v>
      </c>
      <c r="E60" s="4" t="s">
        <v>2237</v>
      </c>
      <c r="F60" s="4" t="s">
        <v>1938</v>
      </c>
      <c r="G60" s="4" t="s">
        <v>48</v>
      </c>
      <c r="H60" s="4" t="s">
        <v>1939</v>
      </c>
      <c r="I60" s="4" t="s">
        <v>1997</v>
      </c>
      <c r="J60" s="4" t="s">
        <v>72</v>
      </c>
      <c r="K60" s="4" t="s">
        <v>2238</v>
      </c>
    </row>
    <row r="61" spans="1:11" x14ac:dyDescent="0.2">
      <c r="A61" s="4" t="s">
        <v>2239</v>
      </c>
      <c r="B61" s="4" t="s">
        <v>1875</v>
      </c>
      <c r="C61" s="4" t="s">
        <v>2240</v>
      </c>
      <c r="D61" s="4" t="s">
        <v>2241</v>
      </c>
      <c r="E61" s="4" t="s">
        <v>2242</v>
      </c>
      <c r="F61" s="4" t="s">
        <v>2108</v>
      </c>
      <c r="G61" s="4" t="s">
        <v>48</v>
      </c>
      <c r="H61" s="4" t="s">
        <v>1939</v>
      </c>
      <c r="I61" s="4" t="s">
        <v>1940</v>
      </c>
      <c r="J61" s="4" t="s">
        <v>72</v>
      </c>
      <c r="K61" s="4" t="s">
        <v>2243</v>
      </c>
    </row>
    <row r="62" spans="1:11" x14ac:dyDescent="0.2">
      <c r="A62" s="4" t="s">
        <v>2244</v>
      </c>
      <c r="B62" s="4" t="s">
        <v>1566</v>
      </c>
      <c r="C62" s="4" t="s">
        <v>2245</v>
      </c>
      <c r="D62" s="4" t="s">
        <v>2246</v>
      </c>
      <c r="E62" s="4" t="s">
        <v>2247</v>
      </c>
      <c r="F62" s="4" t="s">
        <v>1938</v>
      </c>
      <c r="G62" s="4" t="s">
        <v>48</v>
      </c>
      <c r="H62" s="4" t="s">
        <v>1939</v>
      </c>
      <c r="I62" s="4" t="s">
        <v>1997</v>
      </c>
      <c r="J62" s="4" t="s">
        <v>72</v>
      </c>
      <c r="K62" s="4" t="s">
        <v>2038</v>
      </c>
    </row>
    <row r="63" spans="1:11" x14ac:dyDescent="0.2">
      <c r="A63" s="4" t="s">
        <v>2248</v>
      </c>
      <c r="B63" s="4" t="s">
        <v>1772</v>
      </c>
      <c r="C63" s="4" t="s">
        <v>2035</v>
      </c>
      <c r="D63" s="4" t="s">
        <v>2249</v>
      </c>
      <c r="E63" s="4" t="s">
        <v>2250</v>
      </c>
      <c r="F63" s="4" t="s">
        <v>2102</v>
      </c>
      <c r="G63" s="4" t="s">
        <v>48</v>
      </c>
      <c r="H63" s="4" t="s">
        <v>1939</v>
      </c>
      <c r="I63" s="4" t="s">
        <v>1997</v>
      </c>
      <c r="J63" s="4" t="s">
        <v>70</v>
      </c>
      <c r="K63" s="4" t="s">
        <v>2251</v>
      </c>
    </row>
    <row r="64" spans="1:11" x14ac:dyDescent="0.2">
      <c r="A64" s="4" t="s">
        <v>2252</v>
      </c>
      <c r="B64" s="4" t="s">
        <v>1611</v>
      </c>
      <c r="C64" s="4" t="s">
        <v>2253</v>
      </c>
      <c r="D64" s="4" t="s">
        <v>2254</v>
      </c>
      <c r="E64" s="4" t="s">
        <v>1579</v>
      </c>
      <c r="F64" s="4" t="s">
        <v>1958</v>
      </c>
      <c r="G64" s="4" t="s">
        <v>49</v>
      </c>
      <c r="H64" s="4" t="s">
        <v>1939</v>
      </c>
      <c r="I64" s="4" t="s">
        <v>1969</v>
      </c>
      <c r="J64" s="4" t="s">
        <v>72</v>
      </c>
      <c r="K64" s="4" t="s">
        <v>2255</v>
      </c>
    </row>
    <row r="65" spans="1:11" x14ac:dyDescent="0.2">
      <c r="A65" s="4" t="s">
        <v>2256</v>
      </c>
      <c r="B65" s="4" t="s">
        <v>1698</v>
      </c>
      <c r="C65" s="4" t="s">
        <v>2257</v>
      </c>
      <c r="D65" s="4" t="s">
        <v>2258</v>
      </c>
      <c r="E65" s="4" t="s">
        <v>2259</v>
      </c>
      <c r="F65" s="4" t="s">
        <v>2018</v>
      </c>
      <c r="G65" s="4" t="s">
        <v>50</v>
      </c>
      <c r="H65" s="4" t="s">
        <v>2057</v>
      </c>
      <c r="I65" s="4" t="s">
        <v>1959</v>
      </c>
      <c r="J65" s="4" t="s">
        <v>68</v>
      </c>
      <c r="K65" s="4" t="s">
        <v>2260</v>
      </c>
    </row>
    <row r="66" spans="1:11" x14ac:dyDescent="0.2">
      <c r="A66" s="4" t="s">
        <v>2261</v>
      </c>
      <c r="B66" s="4" t="s">
        <v>1628</v>
      </c>
      <c r="C66" s="4" t="s">
        <v>2262</v>
      </c>
      <c r="D66" s="4" t="s">
        <v>2263</v>
      </c>
      <c r="E66" s="4" t="s">
        <v>1747</v>
      </c>
      <c r="F66" s="4" t="s">
        <v>1964</v>
      </c>
      <c r="G66" s="4" t="s">
        <v>49</v>
      </c>
      <c r="H66" s="4" t="s">
        <v>1939</v>
      </c>
      <c r="I66" s="4" t="s">
        <v>1997</v>
      </c>
      <c r="J66" s="4" t="s">
        <v>70</v>
      </c>
      <c r="K66" s="4" t="s">
        <v>2264</v>
      </c>
    </row>
    <row r="67" spans="1:11" x14ac:dyDescent="0.2">
      <c r="A67" s="4" t="s">
        <v>2265</v>
      </c>
      <c r="B67" s="4" t="s">
        <v>1894</v>
      </c>
      <c r="C67" s="4" t="s">
        <v>2266</v>
      </c>
      <c r="D67" s="4" t="s">
        <v>2267</v>
      </c>
      <c r="E67" s="4" t="s">
        <v>1737</v>
      </c>
      <c r="F67" s="4" t="s">
        <v>1981</v>
      </c>
      <c r="G67" s="4" t="s">
        <v>48</v>
      </c>
      <c r="H67" s="4" t="s">
        <v>1939</v>
      </c>
      <c r="I67" s="4" t="s">
        <v>1959</v>
      </c>
      <c r="J67" s="4" t="s">
        <v>72</v>
      </c>
      <c r="K67" s="4" t="s">
        <v>2268</v>
      </c>
    </row>
    <row r="68" spans="1:11" x14ac:dyDescent="0.2">
      <c r="A68" s="4" t="s">
        <v>2269</v>
      </c>
      <c r="B68" s="4" t="s">
        <v>1535</v>
      </c>
      <c r="C68" s="4" t="s">
        <v>2270</v>
      </c>
      <c r="D68" s="4" t="s">
        <v>2271</v>
      </c>
      <c r="E68" s="4" t="s">
        <v>1668</v>
      </c>
      <c r="F68" s="4" t="s">
        <v>2193</v>
      </c>
      <c r="G68" s="4" t="s">
        <v>49</v>
      </c>
      <c r="H68" s="4" t="s">
        <v>1939</v>
      </c>
      <c r="I68" s="4" t="s">
        <v>1969</v>
      </c>
      <c r="J68" s="4" t="s">
        <v>69</v>
      </c>
      <c r="K68" s="4" t="s">
        <v>2272</v>
      </c>
    </row>
    <row r="69" spans="1:11" x14ac:dyDescent="0.2">
      <c r="A69" s="4" t="s">
        <v>2273</v>
      </c>
      <c r="B69" s="4" t="s">
        <v>1522</v>
      </c>
      <c r="C69" s="4" t="s">
        <v>2274</v>
      </c>
      <c r="D69" s="4" t="s">
        <v>2275</v>
      </c>
      <c r="E69" s="4" t="s">
        <v>2026</v>
      </c>
      <c r="F69" s="4" t="s">
        <v>2217</v>
      </c>
      <c r="G69" s="4" t="s">
        <v>48</v>
      </c>
      <c r="H69" s="4" t="s">
        <v>1939</v>
      </c>
      <c r="I69" s="4" t="s">
        <v>1940</v>
      </c>
      <c r="J69" s="4" t="s">
        <v>69</v>
      </c>
      <c r="K69" s="4" t="s">
        <v>2276</v>
      </c>
    </row>
    <row r="70" spans="1:11" x14ac:dyDescent="0.2">
      <c r="A70" s="4" t="s">
        <v>2277</v>
      </c>
      <c r="B70" s="4" t="s">
        <v>1902</v>
      </c>
      <c r="C70" s="4" t="s">
        <v>2136</v>
      </c>
      <c r="D70" s="4" t="s">
        <v>2278</v>
      </c>
      <c r="E70" s="4" t="s">
        <v>2279</v>
      </c>
      <c r="F70" s="4" t="s">
        <v>2102</v>
      </c>
      <c r="G70" s="4" t="s">
        <v>48</v>
      </c>
      <c r="H70" s="4" t="s">
        <v>1939</v>
      </c>
      <c r="I70" s="4" t="s">
        <v>1969</v>
      </c>
      <c r="J70" s="4" t="s">
        <v>72</v>
      </c>
      <c r="K70" s="4" t="s">
        <v>2255</v>
      </c>
    </row>
    <row r="71" spans="1:11" x14ac:dyDescent="0.2">
      <c r="A71" s="4" t="s">
        <v>2280</v>
      </c>
      <c r="B71" s="4" t="s">
        <v>1732</v>
      </c>
      <c r="C71" s="4" t="s">
        <v>2281</v>
      </c>
      <c r="D71" s="4" t="s">
        <v>2282</v>
      </c>
      <c r="E71" s="4" t="s">
        <v>1718</v>
      </c>
      <c r="F71" s="4" t="s">
        <v>1938</v>
      </c>
      <c r="G71" s="4" t="s">
        <v>48</v>
      </c>
      <c r="H71" s="4" t="s">
        <v>1939</v>
      </c>
      <c r="I71" s="4" t="s">
        <v>1997</v>
      </c>
      <c r="J71" s="4" t="s">
        <v>72</v>
      </c>
      <c r="K71" s="4" t="s">
        <v>2058</v>
      </c>
    </row>
    <row r="72" spans="1:11" x14ac:dyDescent="0.2">
      <c r="A72" s="4" t="s">
        <v>2283</v>
      </c>
      <c r="B72" s="4" t="s">
        <v>1604</v>
      </c>
      <c r="C72" s="4" t="s">
        <v>2284</v>
      </c>
      <c r="D72" s="4" t="s">
        <v>2285</v>
      </c>
      <c r="E72" s="4" t="s">
        <v>2286</v>
      </c>
      <c r="F72" s="4" t="s">
        <v>1964</v>
      </c>
      <c r="G72" s="4" t="s">
        <v>48</v>
      </c>
      <c r="H72" s="4" t="s">
        <v>1939</v>
      </c>
      <c r="I72" s="4" t="s">
        <v>1940</v>
      </c>
      <c r="J72" s="4" t="s">
        <v>69</v>
      </c>
      <c r="K72" s="4" t="s">
        <v>2287</v>
      </c>
    </row>
    <row r="73" spans="1:11" x14ac:dyDescent="0.2">
      <c r="A73" s="4" t="s">
        <v>2288</v>
      </c>
      <c r="B73" s="4" t="s">
        <v>1820</v>
      </c>
      <c r="C73" s="4" t="s">
        <v>2289</v>
      </c>
      <c r="D73" s="4" t="s">
        <v>2290</v>
      </c>
      <c r="E73" s="4" t="s">
        <v>2291</v>
      </c>
      <c r="F73" s="4" t="s">
        <v>1992</v>
      </c>
      <c r="G73" s="4" t="s">
        <v>50</v>
      </c>
      <c r="H73" s="4" t="s">
        <v>2057</v>
      </c>
      <c r="I73" s="4" t="s">
        <v>1997</v>
      </c>
      <c r="J73" s="4" t="s">
        <v>68</v>
      </c>
      <c r="K73" s="4" t="s">
        <v>2292</v>
      </c>
    </row>
    <row r="74" spans="1:11" x14ac:dyDescent="0.2">
      <c r="A74" s="4" t="s">
        <v>2293</v>
      </c>
      <c r="B74" s="4" t="s">
        <v>1619</v>
      </c>
      <c r="C74" s="4" t="s">
        <v>2294</v>
      </c>
      <c r="D74" s="4" t="s">
        <v>2295</v>
      </c>
      <c r="E74" s="4" t="s">
        <v>2296</v>
      </c>
      <c r="F74" s="4" t="s">
        <v>2032</v>
      </c>
      <c r="G74" s="4" t="s">
        <v>50</v>
      </c>
      <c r="H74" s="4" t="s">
        <v>1939</v>
      </c>
      <c r="I74" s="4" t="s">
        <v>1969</v>
      </c>
      <c r="J74" s="4" t="s">
        <v>69</v>
      </c>
      <c r="K74" s="4" t="s">
        <v>2199</v>
      </c>
    </row>
    <row r="75" spans="1:11" x14ac:dyDescent="0.2">
      <c r="A75" s="4" t="s">
        <v>2297</v>
      </c>
      <c r="B75" s="4" t="s">
        <v>1848</v>
      </c>
      <c r="C75" s="4" t="s">
        <v>2298</v>
      </c>
      <c r="D75" s="4" t="s">
        <v>2299</v>
      </c>
      <c r="E75" s="4" t="s">
        <v>2300</v>
      </c>
      <c r="F75" s="4" t="s">
        <v>2159</v>
      </c>
      <c r="G75" s="4" t="s">
        <v>48</v>
      </c>
      <c r="H75" s="4" t="s">
        <v>1939</v>
      </c>
      <c r="I75" s="4" t="s">
        <v>1959</v>
      </c>
      <c r="J75" s="4" t="s">
        <v>70</v>
      </c>
      <c r="K75" s="4" t="s">
        <v>2301</v>
      </c>
    </row>
    <row r="76" spans="1:11" x14ac:dyDescent="0.2">
      <c r="A76" s="4" t="s">
        <v>2302</v>
      </c>
      <c r="B76" s="4" t="s">
        <v>1911</v>
      </c>
      <c r="C76" s="4" t="s">
        <v>2099</v>
      </c>
      <c r="D76" s="4" t="s">
        <v>2303</v>
      </c>
      <c r="E76" s="4" t="s">
        <v>2304</v>
      </c>
      <c r="F76" s="4" t="s">
        <v>1975</v>
      </c>
      <c r="G76" s="4" t="s">
        <v>48</v>
      </c>
      <c r="H76" s="4" t="s">
        <v>1939</v>
      </c>
      <c r="I76" s="4" t="s">
        <v>1959</v>
      </c>
      <c r="J76" s="4" t="s">
        <v>69</v>
      </c>
      <c r="K76" s="4" t="s">
        <v>2305</v>
      </c>
    </row>
    <row r="77" spans="1:11" x14ac:dyDescent="0.2">
      <c r="A77" s="4" t="s">
        <v>2306</v>
      </c>
      <c r="B77" s="4" t="s">
        <v>1615</v>
      </c>
      <c r="C77" s="4" t="s">
        <v>2307</v>
      </c>
      <c r="D77" s="4" t="s">
        <v>2308</v>
      </c>
      <c r="E77" s="4" t="s">
        <v>2309</v>
      </c>
      <c r="F77" s="4" t="s">
        <v>2159</v>
      </c>
      <c r="G77" s="4" t="s">
        <v>50</v>
      </c>
      <c r="H77" s="4" t="s">
        <v>2057</v>
      </c>
      <c r="I77" s="4" t="s">
        <v>1969</v>
      </c>
      <c r="J77" s="4" t="s">
        <v>68</v>
      </c>
      <c r="K77" s="4" t="s">
        <v>2310</v>
      </c>
    </row>
    <row r="78" spans="1:11" x14ac:dyDescent="0.2">
      <c r="A78" s="4" t="s">
        <v>2311</v>
      </c>
      <c r="B78" s="4" t="s">
        <v>1505</v>
      </c>
      <c r="C78" s="4" t="s">
        <v>2312</v>
      </c>
      <c r="D78" s="4" t="s">
        <v>2313</v>
      </c>
      <c r="E78" s="4" t="s">
        <v>2314</v>
      </c>
      <c r="F78" s="4" t="s">
        <v>2043</v>
      </c>
      <c r="G78" s="4" t="s">
        <v>48</v>
      </c>
      <c r="H78" s="4" t="s">
        <v>1939</v>
      </c>
      <c r="I78" s="4" t="s">
        <v>1940</v>
      </c>
      <c r="J78" s="4" t="s">
        <v>69</v>
      </c>
      <c r="K78" s="4" t="s">
        <v>2315</v>
      </c>
    </row>
    <row r="79" spans="1:11" x14ac:dyDescent="0.2">
      <c r="A79" s="4" t="s">
        <v>2316</v>
      </c>
      <c r="B79" s="4" t="s">
        <v>1611</v>
      </c>
      <c r="C79" s="4" t="s">
        <v>2317</v>
      </c>
      <c r="D79" s="4" t="s">
        <v>2318</v>
      </c>
      <c r="E79" s="4" t="s">
        <v>2319</v>
      </c>
      <c r="F79" s="4" t="s">
        <v>1964</v>
      </c>
      <c r="G79" s="4" t="s">
        <v>48</v>
      </c>
      <c r="H79" s="4" t="s">
        <v>1939</v>
      </c>
      <c r="I79" s="4" t="s">
        <v>1997</v>
      </c>
      <c r="J79" s="4" t="s">
        <v>70</v>
      </c>
      <c r="K79" s="4" t="s">
        <v>2320</v>
      </c>
    </row>
    <row r="80" spans="1:11" x14ac:dyDescent="0.2">
      <c r="A80" s="4" t="s">
        <v>2321</v>
      </c>
      <c r="B80" s="4" t="s">
        <v>1647</v>
      </c>
      <c r="C80" s="4" t="s">
        <v>2060</v>
      </c>
      <c r="D80" s="4" t="s">
        <v>2322</v>
      </c>
      <c r="E80" s="4" t="s">
        <v>2323</v>
      </c>
      <c r="F80" s="4" t="s">
        <v>2198</v>
      </c>
      <c r="G80" s="4" t="s">
        <v>48</v>
      </c>
      <c r="H80" s="4" t="s">
        <v>1939</v>
      </c>
      <c r="I80" s="4" t="s">
        <v>1969</v>
      </c>
      <c r="J80" s="4" t="s">
        <v>72</v>
      </c>
      <c r="K80" s="4" t="s">
        <v>2324</v>
      </c>
    </row>
    <row r="81" spans="1:11" x14ac:dyDescent="0.2">
      <c r="A81" s="4" t="s">
        <v>2325</v>
      </c>
      <c r="B81" s="4" t="s">
        <v>1812</v>
      </c>
      <c r="C81" s="4" t="s">
        <v>2326</v>
      </c>
      <c r="D81" s="4" t="s">
        <v>2327</v>
      </c>
      <c r="E81" s="4" t="s">
        <v>2328</v>
      </c>
      <c r="F81" s="4" t="s">
        <v>2018</v>
      </c>
      <c r="G81" s="4" t="s">
        <v>48</v>
      </c>
      <c r="H81" s="4" t="s">
        <v>1939</v>
      </c>
      <c r="I81" s="4" t="s">
        <v>1940</v>
      </c>
      <c r="J81" s="4" t="s">
        <v>69</v>
      </c>
      <c r="K81" s="4" t="s">
        <v>2038</v>
      </c>
    </row>
    <row r="82" spans="1:11" x14ac:dyDescent="0.2">
      <c r="A82" s="4" t="s">
        <v>2329</v>
      </c>
      <c r="B82" s="4" t="s">
        <v>1732</v>
      </c>
      <c r="C82" s="4" t="s">
        <v>2330</v>
      </c>
      <c r="D82" s="4" t="s">
        <v>2331</v>
      </c>
      <c r="E82" s="4" t="s">
        <v>2332</v>
      </c>
      <c r="F82" s="4" t="s">
        <v>2043</v>
      </c>
      <c r="G82" s="4" t="s">
        <v>49</v>
      </c>
      <c r="H82" s="4" t="s">
        <v>1939</v>
      </c>
      <c r="I82" s="4" t="s">
        <v>1969</v>
      </c>
      <c r="J82" s="4" t="s">
        <v>72</v>
      </c>
      <c r="K82" s="4" t="s">
        <v>2243</v>
      </c>
    </row>
    <row r="83" spans="1:11" x14ac:dyDescent="0.2">
      <c r="A83" s="4" t="s">
        <v>2333</v>
      </c>
      <c r="B83" s="4" t="s">
        <v>1716</v>
      </c>
      <c r="C83" s="4" t="s">
        <v>1935</v>
      </c>
      <c r="D83" s="4" t="s">
        <v>2334</v>
      </c>
      <c r="E83" s="4" t="s">
        <v>2335</v>
      </c>
      <c r="F83" s="4" t="s">
        <v>2002</v>
      </c>
      <c r="G83" s="4" t="s">
        <v>49</v>
      </c>
      <c r="H83" s="4" t="s">
        <v>1939</v>
      </c>
      <c r="I83" s="4" t="s">
        <v>1969</v>
      </c>
      <c r="J83" s="4" t="s">
        <v>69</v>
      </c>
      <c r="K83" s="4" t="s">
        <v>2336</v>
      </c>
    </row>
    <row r="84" spans="1:11" x14ac:dyDescent="0.2">
      <c r="A84" s="4" t="s">
        <v>2337</v>
      </c>
      <c r="B84" s="4" t="s">
        <v>1600</v>
      </c>
      <c r="C84" s="4" t="s">
        <v>2338</v>
      </c>
      <c r="D84" s="4" t="s">
        <v>2339</v>
      </c>
      <c r="E84" s="4" t="s">
        <v>2340</v>
      </c>
      <c r="F84" s="4" t="s">
        <v>2217</v>
      </c>
      <c r="G84" s="4" t="s">
        <v>48</v>
      </c>
      <c r="H84" s="4" t="s">
        <v>1939</v>
      </c>
      <c r="I84" s="4" t="s">
        <v>1997</v>
      </c>
      <c r="J84" s="4" t="s">
        <v>70</v>
      </c>
      <c r="K84" s="4" t="s">
        <v>2341</v>
      </c>
    </row>
    <row r="85" spans="1:11" x14ac:dyDescent="0.2">
      <c r="A85" s="4" t="s">
        <v>2342</v>
      </c>
      <c r="B85" s="4" t="s">
        <v>1684</v>
      </c>
      <c r="C85" s="4" t="s">
        <v>2343</v>
      </c>
      <c r="D85" s="4" t="s">
        <v>2344</v>
      </c>
      <c r="E85" s="4" t="s">
        <v>2345</v>
      </c>
      <c r="F85" s="4" t="s">
        <v>2198</v>
      </c>
      <c r="G85" s="4" t="s">
        <v>48</v>
      </c>
      <c r="H85" s="4" t="s">
        <v>1939</v>
      </c>
      <c r="I85" s="4" t="s">
        <v>1959</v>
      </c>
      <c r="J85" s="4" t="s">
        <v>70</v>
      </c>
      <c r="K85" s="4" t="s">
        <v>2346</v>
      </c>
    </row>
    <row r="86" spans="1:11" x14ac:dyDescent="0.2">
      <c r="A86" s="4" t="s">
        <v>2347</v>
      </c>
      <c r="B86" s="4" t="s">
        <v>1779</v>
      </c>
      <c r="C86" s="4" t="s">
        <v>2225</v>
      </c>
      <c r="D86" s="4" t="s">
        <v>2348</v>
      </c>
      <c r="E86" s="4" t="s">
        <v>2349</v>
      </c>
      <c r="F86" s="4" t="s">
        <v>1992</v>
      </c>
      <c r="G86" s="4" t="s">
        <v>49</v>
      </c>
      <c r="H86" s="4" t="s">
        <v>1939</v>
      </c>
      <c r="I86" s="4" t="s">
        <v>1997</v>
      </c>
      <c r="J86" s="4" t="s">
        <v>72</v>
      </c>
      <c r="K86" s="4" t="s">
        <v>2350</v>
      </c>
    </row>
    <row r="87" spans="1:11" x14ac:dyDescent="0.2">
      <c r="A87" s="4" t="s">
        <v>2351</v>
      </c>
      <c r="B87" s="4" t="s">
        <v>1911</v>
      </c>
      <c r="C87" s="4" t="s">
        <v>2099</v>
      </c>
      <c r="D87" s="4" t="s">
        <v>2352</v>
      </c>
      <c r="E87" s="4" t="s">
        <v>1675</v>
      </c>
      <c r="F87" s="4" t="s">
        <v>2043</v>
      </c>
      <c r="G87" s="4" t="s">
        <v>48</v>
      </c>
      <c r="H87" s="4" t="s">
        <v>1939</v>
      </c>
      <c r="I87" s="4" t="s">
        <v>1997</v>
      </c>
      <c r="J87" s="4" t="s">
        <v>69</v>
      </c>
      <c r="K87" s="4" t="s">
        <v>2353</v>
      </c>
    </row>
    <row r="88" spans="1:11" x14ac:dyDescent="0.2">
      <c r="A88" s="4" t="s">
        <v>2354</v>
      </c>
      <c r="B88" s="4" t="s">
        <v>1517</v>
      </c>
      <c r="C88" s="4" t="s">
        <v>2355</v>
      </c>
      <c r="D88" s="4" t="s">
        <v>2356</v>
      </c>
      <c r="E88" s="4" t="s">
        <v>2357</v>
      </c>
      <c r="F88" s="4" t="s">
        <v>1958</v>
      </c>
      <c r="G88" s="4" t="s">
        <v>48</v>
      </c>
      <c r="H88" s="4" t="s">
        <v>1939</v>
      </c>
      <c r="I88" s="4" t="s">
        <v>1959</v>
      </c>
      <c r="J88" s="4" t="s">
        <v>72</v>
      </c>
      <c r="K88" s="4" t="s">
        <v>2358</v>
      </c>
    </row>
    <row r="89" spans="1:11" x14ac:dyDescent="0.2">
      <c r="A89" s="4" t="s">
        <v>2359</v>
      </c>
      <c r="B89" s="4" t="s">
        <v>1615</v>
      </c>
      <c r="C89" s="4" t="s">
        <v>2307</v>
      </c>
      <c r="D89" s="4" t="s">
        <v>2360</v>
      </c>
      <c r="E89" s="4" t="s">
        <v>2361</v>
      </c>
      <c r="F89" s="4" t="s">
        <v>1952</v>
      </c>
      <c r="G89" s="4" t="s">
        <v>48</v>
      </c>
      <c r="H89" s="4" t="s">
        <v>1939</v>
      </c>
      <c r="I89" s="4" t="s">
        <v>1969</v>
      </c>
      <c r="J89" s="4" t="s">
        <v>72</v>
      </c>
      <c r="K89" s="4" t="s">
        <v>2362</v>
      </c>
    </row>
    <row r="90" spans="1:11" x14ac:dyDescent="0.2">
      <c r="A90" s="4" t="s">
        <v>2363</v>
      </c>
      <c r="B90" s="4" t="s">
        <v>1872</v>
      </c>
      <c r="C90" s="4" t="s">
        <v>2364</v>
      </c>
      <c r="D90" s="4" t="s">
        <v>2365</v>
      </c>
      <c r="E90" s="4" t="s">
        <v>2366</v>
      </c>
      <c r="F90" s="4" t="s">
        <v>2367</v>
      </c>
      <c r="G90" s="4" t="s">
        <v>49</v>
      </c>
      <c r="H90" s="4" t="s">
        <v>1939</v>
      </c>
      <c r="I90" s="4" t="s">
        <v>1959</v>
      </c>
      <c r="J90" s="4" t="s">
        <v>69</v>
      </c>
      <c r="K90" s="4" t="s">
        <v>2368</v>
      </c>
    </row>
    <row r="91" spans="1:11" x14ac:dyDescent="0.2">
      <c r="A91" s="4" t="s">
        <v>2369</v>
      </c>
      <c r="B91" s="4" t="s">
        <v>1522</v>
      </c>
      <c r="C91" s="4" t="s">
        <v>2370</v>
      </c>
      <c r="D91" s="4" t="s">
        <v>2371</v>
      </c>
      <c r="E91" s="4" t="s">
        <v>2372</v>
      </c>
      <c r="F91" s="4" t="s">
        <v>2108</v>
      </c>
      <c r="G91" s="4" t="s">
        <v>48</v>
      </c>
      <c r="H91" s="4" t="s">
        <v>1939</v>
      </c>
      <c r="I91" s="4" t="s">
        <v>1940</v>
      </c>
      <c r="J91" s="4" t="s">
        <v>70</v>
      </c>
      <c r="K91" s="4" t="s">
        <v>2223</v>
      </c>
    </row>
    <row r="92" spans="1:11" x14ac:dyDescent="0.2">
      <c r="A92" s="4" t="s">
        <v>2373</v>
      </c>
      <c r="B92" s="4" t="s">
        <v>1724</v>
      </c>
      <c r="C92" s="4" t="s">
        <v>2374</v>
      </c>
      <c r="D92" s="4" t="s">
        <v>2375</v>
      </c>
      <c r="E92" s="4" t="s">
        <v>1515</v>
      </c>
      <c r="F92" s="4" t="s">
        <v>2018</v>
      </c>
      <c r="G92" s="4" t="s">
        <v>49</v>
      </c>
      <c r="H92" s="4" t="s">
        <v>1939</v>
      </c>
      <c r="I92" s="4" t="s">
        <v>1969</v>
      </c>
      <c r="J92" s="4" t="s">
        <v>70</v>
      </c>
      <c r="K92" s="4" t="s">
        <v>2376</v>
      </c>
    </row>
    <row r="93" spans="1:11" x14ac:dyDescent="0.2">
      <c r="A93" s="4" t="s">
        <v>2377</v>
      </c>
      <c r="B93" s="4" t="s">
        <v>1659</v>
      </c>
      <c r="C93" s="4" t="s">
        <v>2378</v>
      </c>
      <c r="D93" s="4" t="s">
        <v>2379</v>
      </c>
      <c r="E93" s="4" t="s">
        <v>2026</v>
      </c>
      <c r="F93" s="4" t="s">
        <v>1964</v>
      </c>
      <c r="G93" s="4" t="s">
        <v>48</v>
      </c>
      <c r="H93" s="4" t="s">
        <v>1939</v>
      </c>
      <c r="I93" s="4" t="s">
        <v>1940</v>
      </c>
      <c r="J93" s="4" t="s">
        <v>72</v>
      </c>
      <c r="K93" s="4" t="s">
        <v>2380</v>
      </c>
    </row>
    <row r="94" spans="1:11" x14ac:dyDescent="0.2">
      <c r="A94" s="4" t="s">
        <v>2381</v>
      </c>
      <c r="B94" s="4" t="s">
        <v>1705</v>
      </c>
      <c r="C94" s="4" t="s">
        <v>2382</v>
      </c>
      <c r="D94" s="4" t="s">
        <v>2383</v>
      </c>
      <c r="E94" s="4" t="s">
        <v>2384</v>
      </c>
      <c r="F94" s="4" t="s">
        <v>2217</v>
      </c>
      <c r="G94" s="4" t="s">
        <v>49</v>
      </c>
      <c r="H94" s="4" t="s">
        <v>1939</v>
      </c>
      <c r="I94" s="4" t="s">
        <v>1940</v>
      </c>
      <c r="J94" s="4" t="s">
        <v>69</v>
      </c>
      <c r="K94" s="4" t="s">
        <v>2385</v>
      </c>
    </row>
    <row r="95" spans="1:11" x14ac:dyDescent="0.2">
      <c r="A95" s="4" t="s">
        <v>2386</v>
      </c>
      <c r="B95" s="4" t="s">
        <v>1572</v>
      </c>
      <c r="C95" s="4" t="s">
        <v>2387</v>
      </c>
      <c r="D95" s="4" t="s">
        <v>2388</v>
      </c>
      <c r="E95" s="4" t="s">
        <v>2389</v>
      </c>
      <c r="F95" s="4" t="s">
        <v>2102</v>
      </c>
      <c r="G95" s="4" t="s">
        <v>48</v>
      </c>
      <c r="H95" s="4" t="s">
        <v>1939</v>
      </c>
      <c r="I95" s="4" t="s">
        <v>1969</v>
      </c>
      <c r="J95" s="4" t="s">
        <v>72</v>
      </c>
      <c r="K95" s="4" t="s">
        <v>2390</v>
      </c>
    </row>
    <row r="96" spans="1:11" x14ac:dyDescent="0.2">
      <c r="A96" s="4" t="s">
        <v>2391</v>
      </c>
      <c r="B96" s="4" t="s">
        <v>1624</v>
      </c>
      <c r="C96" s="4" t="s">
        <v>2392</v>
      </c>
      <c r="D96" s="4" t="s">
        <v>2393</v>
      </c>
      <c r="E96" s="4" t="s">
        <v>2394</v>
      </c>
      <c r="F96" s="4" t="s">
        <v>2217</v>
      </c>
      <c r="G96" s="4" t="s">
        <v>48</v>
      </c>
      <c r="H96" s="4" t="s">
        <v>1939</v>
      </c>
      <c r="I96" s="4" t="s">
        <v>1940</v>
      </c>
      <c r="J96" s="4" t="s">
        <v>72</v>
      </c>
      <c r="K96" s="4" t="s">
        <v>2395</v>
      </c>
    </row>
    <row r="97" spans="1:11" x14ac:dyDescent="0.2">
      <c r="A97" s="4" t="s">
        <v>2396</v>
      </c>
      <c r="B97" s="4" t="s">
        <v>1720</v>
      </c>
      <c r="C97" s="4" t="s">
        <v>2397</v>
      </c>
      <c r="D97" s="4" t="s">
        <v>2398</v>
      </c>
      <c r="E97" s="4" t="s">
        <v>2399</v>
      </c>
      <c r="F97" s="4" t="s">
        <v>1938</v>
      </c>
      <c r="G97" s="4" t="s">
        <v>48</v>
      </c>
      <c r="H97" s="4" t="s">
        <v>1939</v>
      </c>
      <c r="I97" s="4" t="s">
        <v>1997</v>
      </c>
      <c r="J97" s="4" t="s">
        <v>69</v>
      </c>
      <c r="K97" s="4" t="s">
        <v>2400</v>
      </c>
    </row>
    <row r="98" spans="1:11" x14ac:dyDescent="0.2">
      <c r="A98" s="4" t="s">
        <v>2401</v>
      </c>
      <c r="B98" s="4" t="s">
        <v>1783</v>
      </c>
      <c r="C98" s="4" t="s">
        <v>2029</v>
      </c>
      <c r="D98" s="4" t="s">
        <v>2402</v>
      </c>
      <c r="E98" s="4" t="s">
        <v>2403</v>
      </c>
      <c r="F98" s="4" t="s">
        <v>2043</v>
      </c>
      <c r="G98" s="4" t="s">
        <v>48</v>
      </c>
      <c r="H98" s="4" t="s">
        <v>1939</v>
      </c>
      <c r="I98" s="4" t="s">
        <v>1959</v>
      </c>
      <c r="J98" s="4" t="s">
        <v>70</v>
      </c>
      <c r="K98" s="4" t="s">
        <v>2404</v>
      </c>
    </row>
    <row r="99" spans="1:11" x14ac:dyDescent="0.2">
      <c r="A99" s="4" t="s">
        <v>2405</v>
      </c>
      <c r="B99" s="4" t="s">
        <v>1659</v>
      </c>
      <c r="C99" s="4" t="s">
        <v>2406</v>
      </c>
      <c r="D99" s="4" t="s">
        <v>2407</v>
      </c>
      <c r="E99" s="4" t="s">
        <v>1536</v>
      </c>
      <c r="F99" s="4" t="s">
        <v>2002</v>
      </c>
      <c r="G99" s="4" t="s">
        <v>48</v>
      </c>
      <c r="H99" s="4" t="s">
        <v>1939</v>
      </c>
      <c r="I99" s="4" t="s">
        <v>1959</v>
      </c>
      <c r="J99" s="4" t="s">
        <v>72</v>
      </c>
      <c r="K99" s="4" t="s">
        <v>2408</v>
      </c>
    </row>
    <row r="100" spans="1:11" x14ac:dyDescent="0.2">
      <c r="A100" s="4" t="s">
        <v>2409</v>
      </c>
      <c r="B100" s="4" t="s">
        <v>1798</v>
      </c>
      <c r="C100" s="4" t="s">
        <v>2074</v>
      </c>
      <c r="D100" s="4" t="s">
        <v>2410</v>
      </c>
      <c r="E100" s="4" t="s">
        <v>2411</v>
      </c>
      <c r="F100" s="4" t="s">
        <v>2043</v>
      </c>
      <c r="G100" s="4" t="s">
        <v>48</v>
      </c>
      <c r="H100" s="4" t="s">
        <v>1939</v>
      </c>
      <c r="I100" s="4" t="s">
        <v>1969</v>
      </c>
      <c r="J100" s="4" t="s">
        <v>69</v>
      </c>
      <c r="K100" s="4" t="s">
        <v>2144</v>
      </c>
    </row>
    <row r="101" spans="1:11" x14ac:dyDescent="0.2">
      <c r="A101" s="4" t="s">
        <v>2412</v>
      </c>
      <c r="B101" s="4" t="s">
        <v>1779</v>
      </c>
      <c r="C101" s="4" t="s">
        <v>2225</v>
      </c>
      <c r="D101" s="4" t="s">
        <v>2413</v>
      </c>
      <c r="E101" s="4" t="s">
        <v>2414</v>
      </c>
      <c r="F101" s="4" t="s">
        <v>2108</v>
      </c>
      <c r="G101" s="4" t="s">
        <v>48</v>
      </c>
      <c r="H101" s="4" t="s">
        <v>1939</v>
      </c>
      <c r="I101" s="4" t="s">
        <v>1969</v>
      </c>
      <c r="J101" s="4" t="s">
        <v>69</v>
      </c>
      <c r="K101" s="4" t="s">
        <v>2415</v>
      </c>
    </row>
    <row r="102" spans="1:11" x14ac:dyDescent="0.2">
      <c r="A102" s="4" t="s">
        <v>2416</v>
      </c>
      <c r="B102" s="4" t="s">
        <v>1724</v>
      </c>
      <c r="C102" s="4" t="s">
        <v>2417</v>
      </c>
      <c r="D102" s="4" t="s">
        <v>2418</v>
      </c>
      <c r="E102" s="4" t="s">
        <v>2419</v>
      </c>
      <c r="F102" s="4" t="s">
        <v>2018</v>
      </c>
      <c r="G102" s="4" t="s">
        <v>48</v>
      </c>
      <c r="H102" s="4" t="s">
        <v>1939</v>
      </c>
      <c r="I102" s="4" t="s">
        <v>1997</v>
      </c>
      <c r="J102" s="4" t="s">
        <v>72</v>
      </c>
      <c r="K102" s="4" t="s">
        <v>2194</v>
      </c>
    </row>
    <row r="103" spans="1:11" x14ac:dyDescent="0.2">
      <c r="A103" s="4" t="s">
        <v>2420</v>
      </c>
      <c r="B103" s="4" t="s">
        <v>1861</v>
      </c>
      <c r="C103" s="4" t="s">
        <v>2421</v>
      </c>
      <c r="D103" s="4" t="s">
        <v>2422</v>
      </c>
      <c r="E103" s="4" t="s">
        <v>2423</v>
      </c>
      <c r="F103" s="4" t="s">
        <v>2217</v>
      </c>
      <c r="G103" s="4" t="s">
        <v>48</v>
      </c>
      <c r="H103" s="4" t="s">
        <v>1939</v>
      </c>
      <c r="I103" s="4" t="s">
        <v>1969</v>
      </c>
      <c r="J103" s="4" t="s">
        <v>70</v>
      </c>
      <c r="K103" s="4" t="s">
        <v>2424</v>
      </c>
    </row>
    <row r="104" spans="1:11" x14ac:dyDescent="0.2">
      <c r="A104" s="4" t="s">
        <v>2425</v>
      </c>
      <c r="B104" s="4" t="s">
        <v>1828</v>
      </c>
      <c r="C104" s="4" t="s">
        <v>2426</v>
      </c>
      <c r="D104" s="4" t="s">
        <v>2427</v>
      </c>
      <c r="E104" s="4" t="s">
        <v>2428</v>
      </c>
      <c r="F104" s="4" t="s">
        <v>2108</v>
      </c>
      <c r="G104" s="4" t="s">
        <v>48</v>
      </c>
      <c r="H104" s="4" t="s">
        <v>1939</v>
      </c>
      <c r="I104" s="4" t="s">
        <v>1969</v>
      </c>
      <c r="J104" s="4" t="s">
        <v>72</v>
      </c>
      <c r="K104" s="4" t="s">
        <v>2068</v>
      </c>
    </row>
    <row r="105" spans="1:11" x14ac:dyDescent="0.2">
      <c r="A105" s="4" t="s">
        <v>2429</v>
      </c>
      <c r="B105" s="4" t="s">
        <v>1619</v>
      </c>
      <c r="C105" s="4" t="s">
        <v>2294</v>
      </c>
      <c r="D105" s="4" t="s">
        <v>2430</v>
      </c>
      <c r="E105" s="4" t="s">
        <v>2431</v>
      </c>
      <c r="F105" s="4" t="s">
        <v>2128</v>
      </c>
      <c r="G105" s="4" t="s">
        <v>48</v>
      </c>
      <c r="H105" s="4" t="s">
        <v>1939</v>
      </c>
      <c r="I105" s="4" t="s">
        <v>1940</v>
      </c>
      <c r="J105" s="4" t="s">
        <v>69</v>
      </c>
      <c r="K105" s="4" t="s">
        <v>2432</v>
      </c>
    </row>
    <row r="106" spans="1:11" x14ac:dyDescent="0.2">
      <c r="A106" s="4" t="s">
        <v>2433</v>
      </c>
      <c r="B106" s="4" t="s">
        <v>1724</v>
      </c>
      <c r="C106" s="4" t="s">
        <v>2374</v>
      </c>
      <c r="D106" s="4" t="s">
        <v>2434</v>
      </c>
      <c r="E106" s="4" t="s">
        <v>2435</v>
      </c>
      <c r="F106" s="4" t="s">
        <v>2193</v>
      </c>
      <c r="G106" s="4" t="s">
        <v>48</v>
      </c>
      <c r="H106" s="4" t="s">
        <v>1939</v>
      </c>
      <c r="I106" s="4" t="s">
        <v>1959</v>
      </c>
      <c r="J106" s="4" t="s">
        <v>72</v>
      </c>
      <c r="K106" s="4" t="s">
        <v>2436</v>
      </c>
    </row>
    <row r="107" spans="1:11" x14ac:dyDescent="0.2">
      <c r="A107" s="4" t="s">
        <v>2437</v>
      </c>
      <c r="B107" s="4" t="s">
        <v>1802</v>
      </c>
      <c r="C107" s="4" t="s">
        <v>2438</v>
      </c>
      <c r="D107" s="4" t="s">
        <v>2439</v>
      </c>
      <c r="E107" s="4" t="s">
        <v>2440</v>
      </c>
      <c r="F107" s="4" t="s">
        <v>2032</v>
      </c>
      <c r="G107" s="4" t="s">
        <v>48</v>
      </c>
      <c r="H107" s="4" t="s">
        <v>1939</v>
      </c>
      <c r="I107" s="4" t="s">
        <v>1969</v>
      </c>
      <c r="J107" s="4" t="s">
        <v>69</v>
      </c>
      <c r="K107" s="4" t="s">
        <v>2441</v>
      </c>
    </row>
    <row r="108" spans="1:11" x14ac:dyDescent="0.2">
      <c r="A108" s="4" t="s">
        <v>2442</v>
      </c>
      <c r="B108" s="4" t="s">
        <v>1691</v>
      </c>
      <c r="C108" s="4" t="s">
        <v>2210</v>
      </c>
      <c r="D108" s="4" t="s">
        <v>2443</v>
      </c>
      <c r="E108" s="4" t="s">
        <v>2389</v>
      </c>
      <c r="F108" s="4" t="s">
        <v>2102</v>
      </c>
      <c r="G108" s="4" t="s">
        <v>48</v>
      </c>
      <c r="H108" s="4" t="s">
        <v>1939</v>
      </c>
      <c r="I108" s="4" t="s">
        <v>1959</v>
      </c>
      <c r="J108" s="4" t="s">
        <v>72</v>
      </c>
      <c r="K108" s="4" t="s">
        <v>2444</v>
      </c>
    </row>
    <row r="109" spans="1:11" x14ac:dyDescent="0.2">
      <c r="A109" s="4" t="s">
        <v>2445</v>
      </c>
      <c r="B109" s="4" t="s">
        <v>1749</v>
      </c>
      <c r="C109" s="4" t="s">
        <v>2446</v>
      </c>
      <c r="D109" s="4" t="s">
        <v>2447</v>
      </c>
      <c r="E109" s="4" t="s">
        <v>2448</v>
      </c>
      <c r="F109" s="4" t="s">
        <v>1952</v>
      </c>
      <c r="G109" s="4" t="s">
        <v>48</v>
      </c>
      <c r="H109" s="4" t="s">
        <v>1939</v>
      </c>
      <c r="I109" s="4" t="s">
        <v>1997</v>
      </c>
      <c r="J109" s="4" t="s">
        <v>72</v>
      </c>
      <c r="K109" s="4" t="s">
        <v>2449</v>
      </c>
    </row>
    <row r="110" spans="1:11" x14ac:dyDescent="0.2">
      <c r="A110" s="4" t="s">
        <v>2450</v>
      </c>
      <c r="B110" s="4" t="s">
        <v>1681</v>
      </c>
      <c r="C110" s="4" t="s">
        <v>2120</v>
      </c>
      <c r="D110" s="4" t="s">
        <v>2451</v>
      </c>
      <c r="E110" s="4" t="s">
        <v>1696</v>
      </c>
      <c r="F110" s="4" t="s">
        <v>1992</v>
      </c>
      <c r="G110" s="4" t="s">
        <v>50</v>
      </c>
      <c r="H110" s="4" t="s">
        <v>1939</v>
      </c>
      <c r="I110" s="4" t="s">
        <v>1959</v>
      </c>
      <c r="J110" s="4" t="s">
        <v>70</v>
      </c>
      <c r="K110" s="4" t="s">
        <v>2400</v>
      </c>
    </row>
    <row r="111" spans="1:11" x14ac:dyDescent="0.2">
      <c r="A111" s="4" t="s">
        <v>2452</v>
      </c>
      <c r="B111" s="4" t="s">
        <v>1688</v>
      </c>
      <c r="C111" s="4" t="s">
        <v>2453</v>
      </c>
      <c r="D111" s="4" t="s">
        <v>2454</v>
      </c>
      <c r="E111" s="4" t="s">
        <v>2296</v>
      </c>
      <c r="F111" s="4" t="s">
        <v>2018</v>
      </c>
      <c r="G111" s="4" t="s">
        <v>48</v>
      </c>
      <c r="H111" s="4" t="s">
        <v>1939</v>
      </c>
      <c r="I111" s="4" t="s">
        <v>1997</v>
      </c>
      <c r="J111" s="4" t="s">
        <v>70</v>
      </c>
      <c r="K111" s="4" t="s">
        <v>2455</v>
      </c>
    </row>
    <row r="112" spans="1:11" x14ac:dyDescent="0.2">
      <c r="A112" s="4" t="s">
        <v>2456</v>
      </c>
      <c r="B112" s="4" t="s">
        <v>1858</v>
      </c>
      <c r="C112" s="4" t="s">
        <v>2457</v>
      </c>
      <c r="D112" s="4" t="s">
        <v>2458</v>
      </c>
      <c r="E112" s="4" t="s">
        <v>2459</v>
      </c>
      <c r="F112" s="4" t="s">
        <v>1981</v>
      </c>
      <c r="G112" s="4" t="s">
        <v>49</v>
      </c>
      <c r="H112" s="4" t="s">
        <v>1939</v>
      </c>
      <c r="I112" s="4" t="s">
        <v>1997</v>
      </c>
      <c r="J112" s="4" t="s">
        <v>72</v>
      </c>
      <c r="K112" s="4" t="s">
        <v>2460</v>
      </c>
    </row>
    <row r="113" spans="1:11" x14ac:dyDescent="0.2">
      <c r="A113" s="4" t="s">
        <v>2461</v>
      </c>
      <c r="B113" s="4" t="s">
        <v>1768</v>
      </c>
      <c r="C113" s="4" t="s">
        <v>2462</v>
      </c>
      <c r="D113" s="4" t="s">
        <v>2463</v>
      </c>
      <c r="E113" s="4" t="s">
        <v>2464</v>
      </c>
      <c r="F113" s="4" t="s">
        <v>2018</v>
      </c>
      <c r="G113" s="4" t="s">
        <v>48</v>
      </c>
      <c r="H113" s="4" t="s">
        <v>1939</v>
      </c>
      <c r="I113" s="4" t="s">
        <v>1997</v>
      </c>
      <c r="J113" s="4" t="s">
        <v>70</v>
      </c>
      <c r="K113" s="4" t="s">
        <v>1993</v>
      </c>
    </row>
    <row r="114" spans="1:11" x14ac:dyDescent="0.2">
      <c r="A114" s="4" t="s">
        <v>2465</v>
      </c>
      <c r="B114" s="4" t="s">
        <v>1670</v>
      </c>
      <c r="C114" s="4" t="s">
        <v>2466</v>
      </c>
      <c r="D114" s="4" t="s">
        <v>2467</v>
      </c>
      <c r="E114" s="4" t="s">
        <v>1671</v>
      </c>
      <c r="F114" s="4" t="s">
        <v>1946</v>
      </c>
      <c r="G114" s="4" t="s">
        <v>48</v>
      </c>
      <c r="H114" s="4" t="s">
        <v>1939</v>
      </c>
      <c r="I114" s="4" t="s">
        <v>1940</v>
      </c>
      <c r="J114" s="4" t="s">
        <v>72</v>
      </c>
      <c r="K114" s="4" t="s">
        <v>2468</v>
      </c>
    </row>
    <row r="115" spans="1:11" x14ac:dyDescent="0.2">
      <c r="A115" s="4" t="s">
        <v>2469</v>
      </c>
      <c r="B115" s="4" t="s">
        <v>1607</v>
      </c>
      <c r="C115" s="4" t="s">
        <v>2470</v>
      </c>
      <c r="D115" s="4" t="s">
        <v>2471</v>
      </c>
      <c r="E115" s="4" t="s">
        <v>2472</v>
      </c>
      <c r="F115" s="4" t="s">
        <v>2128</v>
      </c>
      <c r="G115" s="4" t="s">
        <v>49</v>
      </c>
      <c r="H115" s="4" t="s">
        <v>1939</v>
      </c>
      <c r="I115" s="4" t="s">
        <v>1969</v>
      </c>
      <c r="J115" s="4" t="s">
        <v>72</v>
      </c>
      <c r="K115" s="4" t="s">
        <v>2473</v>
      </c>
    </row>
    <row r="116" spans="1:11" x14ac:dyDescent="0.2">
      <c r="A116" s="4" t="s">
        <v>2474</v>
      </c>
      <c r="B116" s="4" t="s">
        <v>1695</v>
      </c>
      <c r="C116" s="4" t="s">
        <v>2475</v>
      </c>
      <c r="D116" s="4" t="s">
        <v>2476</v>
      </c>
      <c r="E116" s="4" t="s">
        <v>2477</v>
      </c>
      <c r="F116" s="4" t="s">
        <v>2193</v>
      </c>
      <c r="G116" s="4" t="s">
        <v>48</v>
      </c>
      <c r="H116" s="4" t="s">
        <v>1939</v>
      </c>
      <c r="I116" s="4" t="s">
        <v>1959</v>
      </c>
      <c r="J116" s="4" t="s">
        <v>69</v>
      </c>
      <c r="K116" s="4" t="s">
        <v>2478</v>
      </c>
    </row>
    <row r="117" spans="1:11" x14ac:dyDescent="0.2">
      <c r="A117" s="4" t="s">
        <v>2479</v>
      </c>
      <c r="B117" s="4" t="s">
        <v>1812</v>
      </c>
      <c r="C117" s="4" t="s">
        <v>2480</v>
      </c>
      <c r="D117" s="4" t="s">
        <v>2481</v>
      </c>
      <c r="E117" s="4" t="s">
        <v>2482</v>
      </c>
      <c r="F117" s="4" t="s">
        <v>2198</v>
      </c>
      <c r="G117" s="4" t="s">
        <v>49</v>
      </c>
      <c r="H117" s="4" t="s">
        <v>1939</v>
      </c>
      <c r="I117" s="4" t="s">
        <v>1940</v>
      </c>
      <c r="J117" s="4" t="s">
        <v>72</v>
      </c>
      <c r="K117" s="4" t="s">
        <v>2483</v>
      </c>
    </row>
    <row r="118" spans="1:11" x14ac:dyDescent="0.2">
      <c r="A118" s="4" t="s">
        <v>2484</v>
      </c>
      <c r="B118" s="4" t="s">
        <v>1753</v>
      </c>
      <c r="C118" s="4" t="s">
        <v>2485</v>
      </c>
      <c r="D118" s="4" t="s">
        <v>2486</v>
      </c>
      <c r="E118" s="4" t="s">
        <v>2487</v>
      </c>
      <c r="F118" s="4" t="s">
        <v>1992</v>
      </c>
      <c r="G118" s="4" t="s">
        <v>48</v>
      </c>
      <c r="H118" s="4" t="s">
        <v>1939</v>
      </c>
      <c r="I118" s="4" t="s">
        <v>1969</v>
      </c>
      <c r="J118" s="4" t="s">
        <v>69</v>
      </c>
      <c r="K118" s="4" t="s">
        <v>2488</v>
      </c>
    </row>
    <row r="119" spans="1:11" x14ac:dyDescent="0.2">
      <c r="A119" s="4" t="s">
        <v>2489</v>
      </c>
      <c r="B119" s="4" t="s">
        <v>1550</v>
      </c>
      <c r="C119" s="4" t="s">
        <v>2490</v>
      </c>
      <c r="D119" s="4" t="s">
        <v>2491</v>
      </c>
      <c r="E119" s="4" t="s">
        <v>2492</v>
      </c>
      <c r="F119" s="4" t="s">
        <v>2217</v>
      </c>
      <c r="G119" s="4" t="s">
        <v>50</v>
      </c>
      <c r="H119" s="4" t="s">
        <v>1939</v>
      </c>
      <c r="I119" s="4" t="s">
        <v>1959</v>
      </c>
      <c r="J119" s="4" t="s">
        <v>69</v>
      </c>
      <c r="K119" s="4" t="s">
        <v>2493</v>
      </c>
    </row>
    <row r="120" spans="1:11" x14ac:dyDescent="0.2">
      <c r="A120" s="4" t="s">
        <v>2494</v>
      </c>
      <c r="B120" s="4" t="s">
        <v>1651</v>
      </c>
      <c r="C120" s="4" t="s">
        <v>2495</v>
      </c>
      <c r="D120" s="4" t="s">
        <v>2496</v>
      </c>
      <c r="E120" s="4" t="s">
        <v>2497</v>
      </c>
      <c r="F120" s="4" t="s">
        <v>2043</v>
      </c>
      <c r="G120" s="4" t="s">
        <v>49</v>
      </c>
      <c r="H120" s="4" t="s">
        <v>1939</v>
      </c>
      <c r="I120" s="4" t="s">
        <v>1969</v>
      </c>
      <c r="J120" s="4" t="s">
        <v>72</v>
      </c>
      <c r="K120" s="4" t="s">
        <v>2498</v>
      </c>
    </row>
    <row r="121" spans="1:11" x14ac:dyDescent="0.2">
      <c r="A121" s="4" t="s">
        <v>2499</v>
      </c>
      <c r="B121" s="4" t="s">
        <v>1858</v>
      </c>
      <c r="C121" s="4" t="s">
        <v>2500</v>
      </c>
      <c r="D121" s="4" t="s">
        <v>2501</v>
      </c>
      <c r="E121" s="4" t="s">
        <v>2502</v>
      </c>
      <c r="F121" s="4" t="s">
        <v>2198</v>
      </c>
      <c r="G121" s="4" t="s">
        <v>48</v>
      </c>
      <c r="H121" s="4" t="s">
        <v>1939</v>
      </c>
      <c r="I121" s="4" t="s">
        <v>1969</v>
      </c>
      <c r="J121" s="4" t="s">
        <v>70</v>
      </c>
      <c r="K121" s="4" t="s">
        <v>2503</v>
      </c>
    </row>
    <row r="122" spans="1:11" x14ac:dyDescent="0.2">
      <c r="A122" s="4" t="s">
        <v>2504</v>
      </c>
      <c r="B122" s="4" t="s">
        <v>1651</v>
      </c>
      <c r="C122" s="4" t="s">
        <v>2220</v>
      </c>
      <c r="D122" s="4" t="s">
        <v>2505</v>
      </c>
      <c r="E122" s="4" t="s">
        <v>2506</v>
      </c>
      <c r="F122" s="4" t="s">
        <v>1992</v>
      </c>
      <c r="G122" s="4" t="s">
        <v>50</v>
      </c>
      <c r="H122" s="4" t="s">
        <v>2057</v>
      </c>
      <c r="I122" s="4" t="s">
        <v>1959</v>
      </c>
      <c r="J122" s="4" t="s">
        <v>70</v>
      </c>
      <c r="K122" s="4" t="s">
        <v>2507</v>
      </c>
    </row>
    <row r="123" spans="1:11" x14ac:dyDescent="0.2">
      <c r="A123" s="4" t="s">
        <v>2508</v>
      </c>
      <c r="B123" s="4" t="s">
        <v>1517</v>
      </c>
      <c r="C123" s="4" t="s">
        <v>2355</v>
      </c>
      <c r="D123" s="4" t="s">
        <v>2509</v>
      </c>
      <c r="E123" s="4" t="s">
        <v>1821</v>
      </c>
      <c r="F123" s="4" t="s">
        <v>2032</v>
      </c>
      <c r="G123" s="4" t="s">
        <v>50</v>
      </c>
      <c r="H123" s="4" t="s">
        <v>2057</v>
      </c>
      <c r="I123" s="4" t="s">
        <v>1997</v>
      </c>
      <c r="J123" s="4" t="s">
        <v>68</v>
      </c>
      <c r="K123" s="4" t="s">
        <v>2243</v>
      </c>
    </row>
    <row r="124" spans="1:11" x14ac:dyDescent="0.2">
      <c r="A124" s="4" t="s">
        <v>2510</v>
      </c>
      <c r="B124" s="4" t="s">
        <v>1635</v>
      </c>
      <c r="C124" s="4" t="s">
        <v>2511</v>
      </c>
      <c r="D124" s="4" t="s">
        <v>2512</v>
      </c>
      <c r="E124" s="4" t="s">
        <v>2513</v>
      </c>
      <c r="F124" s="4" t="s">
        <v>1952</v>
      </c>
      <c r="G124" s="4" t="s">
        <v>49</v>
      </c>
      <c r="H124" s="4" t="s">
        <v>1939</v>
      </c>
      <c r="I124" s="4" t="s">
        <v>1940</v>
      </c>
      <c r="J124" s="4" t="s">
        <v>69</v>
      </c>
      <c r="K124" s="4" t="s">
        <v>2514</v>
      </c>
    </row>
    <row r="125" spans="1:11" x14ac:dyDescent="0.2">
      <c r="A125" s="4" t="s">
        <v>2515</v>
      </c>
      <c r="B125" s="4" t="s">
        <v>1539</v>
      </c>
      <c r="C125" s="4" t="s">
        <v>2516</v>
      </c>
      <c r="D125" s="4" t="s">
        <v>2517</v>
      </c>
      <c r="E125" s="4" t="s">
        <v>2518</v>
      </c>
      <c r="F125" s="4" t="s">
        <v>2128</v>
      </c>
      <c r="G125" s="4" t="s">
        <v>48</v>
      </c>
      <c r="H125" s="4" t="s">
        <v>1939</v>
      </c>
      <c r="I125" s="4" t="s">
        <v>1959</v>
      </c>
      <c r="J125" s="4" t="s">
        <v>70</v>
      </c>
      <c r="K125" s="4" t="s">
        <v>2519</v>
      </c>
    </row>
    <row r="126" spans="1:11" x14ac:dyDescent="0.2">
      <c r="A126" s="4" t="s">
        <v>2520</v>
      </c>
      <c r="B126" s="4" t="s">
        <v>1545</v>
      </c>
      <c r="C126" s="4" t="s">
        <v>2521</v>
      </c>
      <c r="D126" s="4" t="s">
        <v>2522</v>
      </c>
      <c r="E126" s="4" t="s">
        <v>2523</v>
      </c>
      <c r="F126" s="4" t="s">
        <v>1958</v>
      </c>
      <c r="G126" s="4" t="s">
        <v>49</v>
      </c>
      <c r="H126" s="4" t="s">
        <v>1939</v>
      </c>
      <c r="I126" s="4" t="s">
        <v>1969</v>
      </c>
      <c r="J126" s="4" t="s">
        <v>69</v>
      </c>
      <c r="K126" s="4" t="s">
        <v>2524</v>
      </c>
    </row>
    <row r="127" spans="1:11" x14ac:dyDescent="0.2">
      <c r="A127" s="4" t="s">
        <v>2525</v>
      </c>
      <c r="B127" s="4" t="s">
        <v>1855</v>
      </c>
      <c r="C127" s="4" t="s">
        <v>1962</v>
      </c>
      <c r="D127" s="4" t="s">
        <v>2526</v>
      </c>
      <c r="E127" s="4" t="s">
        <v>2527</v>
      </c>
      <c r="F127" s="4" t="s">
        <v>2193</v>
      </c>
      <c r="G127" s="4" t="s">
        <v>48</v>
      </c>
      <c r="H127" s="4" t="s">
        <v>1939</v>
      </c>
      <c r="I127" s="4" t="s">
        <v>1997</v>
      </c>
      <c r="J127" s="4" t="s">
        <v>69</v>
      </c>
      <c r="K127" s="4" t="s">
        <v>2528</v>
      </c>
    </row>
    <row r="128" spans="1:11" x14ac:dyDescent="0.2">
      <c r="A128" s="4" t="s">
        <v>2529</v>
      </c>
      <c r="B128" s="4" t="s">
        <v>1742</v>
      </c>
      <c r="C128" s="4" t="s">
        <v>2185</v>
      </c>
      <c r="D128" s="4" t="s">
        <v>2530</v>
      </c>
      <c r="E128" s="4" t="s">
        <v>2531</v>
      </c>
      <c r="F128" s="4" t="s">
        <v>2128</v>
      </c>
      <c r="G128" s="4" t="s">
        <v>48</v>
      </c>
      <c r="H128" s="4" t="s">
        <v>1939</v>
      </c>
      <c r="I128" s="4" t="s">
        <v>1969</v>
      </c>
      <c r="J128" s="4" t="s">
        <v>70</v>
      </c>
      <c r="K128" s="4" t="s">
        <v>1947</v>
      </c>
    </row>
    <row r="129" spans="1:11" x14ac:dyDescent="0.2">
      <c r="A129" s="4" t="s">
        <v>2532</v>
      </c>
      <c r="B129" s="4" t="s">
        <v>1684</v>
      </c>
      <c r="C129" s="4" t="s">
        <v>2533</v>
      </c>
      <c r="D129" s="4" t="s">
        <v>2534</v>
      </c>
      <c r="E129" s="4" t="s">
        <v>2535</v>
      </c>
      <c r="F129" s="4" t="s">
        <v>1964</v>
      </c>
      <c r="G129" s="4" t="s">
        <v>48</v>
      </c>
      <c r="H129" s="4" t="s">
        <v>1939</v>
      </c>
      <c r="I129" s="4" t="s">
        <v>1959</v>
      </c>
      <c r="J129" s="4" t="s">
        <v>69</v>
      </c>
      <c r="K129" s="4" t="s">
        <v>2536</v>
      </c>
    </row>
    <row r="130" spans="1:11" x14ac:dyDescent="0.2">
      <c r="A130" s="4" t="s">
        <v>2537</v>
      </c>
      <c r="B130" s="4" t="s">
        <v>1635</v>
      </c>
      <c r="C130" s="4" t="s">
        <v>2055</v>
      </c>
      <c r="D130" s="4" t="s">
        <v>2538</v>
      </c>
      <c r="E130" s="4" t="s">
        <v>2539</v>
      </c>
      <c r="F130" s="4" t="s">
        <v>1952</v>
      </c>
      <c r="G130" s="4" t="s">
        <v>48</v>
      </c>
      <c r="H130" s="4" t="s">
        <v>1939</v>
      </c>
      <c r="I130" s="4" t="s">
        <v>1997</v>
      </c>
      <c r="J130" s="4" t="s">
        <v>72</v>
      </c>
      <c r="K130" s="4" t="s">
        <v>2540</v>
      </c>
    </row>
    <row r="131" spans="1:11" x14ac:dyDescent="0.2">
      <c r="A131" s="4" t="s">
        <v>2541</v>
      </c>
      <c r="B131" s="4" t="s">
        <v>1681</v>
      </c>
      <c r="C131" s="4" t="s">
        <v>2120</v>
      </c>
      <c r="D131" s="4" t="s">
        <v>2542</v>
      </c>
      <c r="E131" s="4" t="s">
        <v>2543</v>
      </c>
      <c r="F131" s="4" t="s">
        <v>2108</v>
      </c>
      <c r="G131" s="4" t="s">
        <v>48</v>
      </c>
      <c r="H131" s="4" t="s">
        <v>1939</v>
      </c>
      <c r="I131" s="4" t="s">
        <v>1940</v>
      </c>
      <c r="J131" s="4" t="s">
        <v>70</v>
      </c>
      <c r="K131" s="4" t="s">
        <v>2544</v>
      </c>
    </row>
    <row r="132" spans="1:11" x14ac:dyDescent="0.2">
      <c r="A132" s="4" t="s">
        <v>2545</v>
      </c>
      <c r="B132" s="4" t="s">
        <v>1760</v>
      </c>
      <c r="C132" s="4" t="s">
        <v>2546</v>
      </c>
      <c r="D132" s="4" t="s">
        <v>2547</v>
      </c>
      <c r="E132" s="4" t="s">
        <v>2548</v>
      </c>
      <c r="F132" s="4" t="s">
        <v>1958</v>
      </c>
      <c r="G132" s="4" t="s">
        <v>48</v>
      </c>
      <c r="H132" s="4" t="s">
        <v>1939</v>
      </c>
      <c r="I132" s="4" t="s">
        <v>1969</v>
      </c>
      <c r="J132" s="4" t="s">
        <v>72</v>
      </c>
      <c r="K132" s="4" t="s">
        <v>2507</v>
      </c>
    </row>
    <row r="133" spans="1:11" x14ac:dyDescent="0.2">
      <c r="A133" s="4" t="s">
        <v>2549</v>
      </c>
      <c r="B133" s="4" t="s">
        <v>1580</v>
      </c>
      <c r="C133" s="4" t="s">
        <v>2550</v>
      </c>
      <c r="D133" s="4" t="s">
        <v>2551</v>
      </c>
      <c r="E133" s="4" t="s">
        <v>2552</v>
      </c>
      <c r="F133" s="4" t="s">
        <v>2032</v>
      </c>
      <c r="G133" s="4" t="s">
        <v>48</v>
      </c>
      <c r="H133" s="4" t="s">
        <v>1939</v>
      </c>
      <c r="I133" s="4" t="s">
        <v>1959</v>
      </c>
      <c r="J133" s="4" t="s">
        <v>72</v>
      </c>
      <c r="K133" s="4" t="s">
        <v>2553</v>
      </c>
    </row>
    <row r="134" spans="1:11" x14ac:dyDescent="0.2">
      <c r="A134" s="4" t="s">
        <v>2554</v>
      </c>
      <c r="B134" s="4" t="s">
        <v>1713</v>
      </c>
      <c r="C134" s="4" t="s">
        <v>2555</v>
      </c>
      <c r="D134" s="4" t="s">
        <v>2556</v>
      </c>
      <c r="E134" s="4" t="s">
        <v>2557</v>
      </c>
      <c r="F134" s="4" t="s">
        <v>2128</v>
      </c>
      <c r="G134" s="4" t="s">
        <v>49</v>
      </c>
      <c r="H134" s="4" t="s">
        <v>1939</v>
      </c>
      <c r="I134" s="4" t="s">
        <v>1959</v>
      </c>
      <c r="J134" s="4" t="s">
        <v>72</v>
      </c>
      <c r="K134" s="4" t="s">
        <v>2038</v>
      </c>
    </row>
    <row r="135" spans="1:11" x14ac:dyDescent="0.2">
      <c r="A135" s="4" t="s">
        <v>2558</v>
      </c>
      <c r="B135" s="4" t="s">
        <v>1639</v>
      </c>
      <c r="C135" s="4" t="s">
        <v>2559</v>
      </c>
      <c r="D135" s="4" t="s">
        <v>2560</v>
      </c>
      <c r="E135" s="4" t="s">
        <v>2561</v>
      </c>
      <c r="F135" s="4" t="s">
        <v>1958</v>
      </c>
      <c r="G135" s="4" t="s">
        <v>49</v>
      </c>
      <c r="H135" s="4" t="s">
        <v>1939</v>
      </c>
      <c r="I135" s="4" t="s">
        <v>1997</v>
      </c>
      <c r="J135" s="4" t="s">
        <v>70</v>
      </c>
      <c r="K135" s="4" t="s">
        <v>2562</v>
      </c>
    </row>
    <row r="136" spans="1:11" x14ac:dyDescent="0.2">
      <c r="A136" s="4" t="s">
        <v>2563</v>
      </c>
      <c r="B136" s="4" t="s">
        <v>1705</v>
      </c>
      <c r="C136" s="4" t="s">
        <v>2564</v>
      </c>
      <c r="D136" s="4" t="s">
        <v>2565</v>
      </c>
      <c r="E136" s="4" t="s">
        <v>2566</v>
      </c>
      <c r="F136" s="4" t="s">
        <v>2198</v>
      </c>
      <c r="G136" s="4" t="s">
        <v>49</v>
      </c>
      <c r="H136" s="4" t="s">
        <v>1939</v>
      </c>
      <c r="I136" s="4" t="s">
        <v>1940</v>
      </c>
      <c r="J136" s="4" t="s">
        <v>72</v>
      </c>
      <c r="K136" s="4" t="s">
        <v>2567</v>
      </c>
    </row>
    <row r="137" spans="1:11" x14ac:dyDescent="0.2">
      <c r="A137" s="4" t="s">
        <v>2568</v>
      </c>
      <c r="B137" s="4" t="s">
        <v>1794</v>
      </c>
      <c r="C137" s="4" t="s">
        <v>2569</v>
      </c>
      <c r="D137" s="4" t="s">
        <v>2570</v>
      </c>
      <c r="E137" s="4" t="s">
        <v>2571</v>
      </c>
      <c r="F137" s="4" t="s">
        <v>2217</v>
      </c>
      <c r="G137" s="4" t="s">
        <v>48</v>
      </c>
      <c r="H137" s="4" t="s">
        <v>1939</v>
      </c>
      <c r="I137" s="4" t="s">
        <v>1997</v>
      </c>
      <c r="J137" s="4" t="s">
        <v>70</v>
      </c>
      <c r="K137" s="4" t="s">
        <v>2536</v>
      </c>
    </row>
    <row r="138" spans="1:11" x14ac:dyDescent="0.2">
      <c r="A138" s="4" t="s">
        <v>2572</v>
      </c>
      <c r="B138" s="4" t="s">
        <v>1824</v>
      </c>
      <c r="C138" s="4" t="s">
        <v>2573</v>
      </c>
      <c r="D138" s="4" t="s">
        <v>2574</v>
      </c>
      <c r="E138" s="4" t="s">
        <v>2575</v>
      </c>
      <c r="F138" s="4" t="s">
        <v>1938</v>
      </c>
      <c r="G138" s="4" t="s">
        <v>49</v>
      </c>
      <c r="H138" s="4" t="s">
        <v>1939</v>
      </c>
      <c r="I138" s="4" t="s">
        <v>1997</v>
      </c>
      <c r="J138" s="4" t="s">
        <v>70</v>
      </c>
      <c r="K138" s="4" t="s">
        <v>2576</v>
      </c>
    </row>
    <row r="139" spans="1:11" x14ac:dyDescent="0.2">
      <c r="A139" s="4" t="s">
        <v>2577</v>
      </c>
      <c r="B139" s="4" t="s">
        <v>1836</v>
      </c>
      <c r="C139" s="4" t="s">
        <v>2578</v>
      </c>
      <c r="D139" s="4" t="s">
        <v>2579</v>
      </c>
      <c r="E139" s="4" t="s">
        <v>2580</v>
      </c>
      <c r="F139" s="4" t="s">
        <v>2108</v>
      </c>
      <c r="G139" s="4" t="s">
        <v>48</v>
      </c>
      <c r="H139" s="4" t="s">
        <v>1939</v>
      </c>
      <c r="I139" s="4" t="s">
        <v>1959</v>
      </c>
      <c r="J139" s="4" t="s">
        <v>72</v>
      </c>
      <c r="K139" s="4" t="s">
        <v>2581</v>
      </c>
    </row>
    <row r="140" spans="1:11" x14ac:dyDescent="0.2">
      <c r="A140" s="4" t="s">
        <v>2582</v>
      </c>
      <c r="B140" s="4" t="s">
        <v>1659</v>
      </c>
      <c r="C140" s="4" t="s">
        <v>2406</v>
      </c>
      <c r="D140" s="4" t="s">
        <v>2583</v>
      </c>
      <c r="E140" s="4" t="s">
        <v>2584</v>
      </c>
      <c r="F140" s="4" t="s">
        <v>1958</v>
      </c>
      <c r="G140" s="4" t="s">
        <v>48</v>
      </c>
      <c r="H140" s="4" t="s">
        <v>1939</v>
      </c>
      <c r="I140" s="4" t="s">
        <v>1997</v>
      </c>
      <c r="J140" s="4" t="s">
        <v>69</v>
      </c>
      <c r="K140" s="4" t="s">
        <v>1976</v>
      </c>
    </row>
    <row r="141" spans="1:11" x14ac:dyDescent="0.2">
      <c r="A141" s="4" t="s">
        <v>2585</v>
      </c>
      <c r="B141" s="4" t="s">
        <v>1911</v>
      </c>
      <c r="C141" s="4" t="s">
        <v>2099</v>
      </c>
      <c r="D141" s="4" t="s">
        <v>2586</v>
      </c>
      <c r="E141" s="4" t="s">
        <v>2587</v>
      </c>
      <c r="F141" s="4" t="s">
        <v>2128</v>
      </c>
      <c r="G141" s="4" t="s">
        <v>48</v>
      </c>
      <c r="H141" s="4" t="s">
        <v>1939</v>
      </c>
      <c r="I141" s="4" t="s">
        <v>1969</v>
      </c>
      <c r="J141" s="4" t="s">
        <v>70</v>
      </c>
      <c r="K141" s="4" t="s">
        <v>2588</v>
      </c>
    </row>
    <row r="142" spans="1:11" x14ac:dyDescent="0.2">
      <c r="A142" s="4" t="s">
        <v>2589</v>
      </c>
      <c r="B142" s="4" t="s">
        <v>1746</v>
      </c>
      <c r="C142" s="4" t="s">
        <v>2590</v>
      </c>
      <c r="D142" s="4" t="s">
        <v>2591</v>
      </c>
      <c r="E142" s="4" t="s">
        <v>2592</v>
      </c>
      <c r="F142" s="4" t="s">
        <v>2367</v>
      </c>
      <c r="G142" s="4" t="s">
        <v>48</v>
      </c>
      <c r="H142" s="4" t="s">
        <v>1939</v>
      </c>
      <c r="I142" s="4" t="s">
        <v>1940</v>
      </c>
      <c r="J142" s="4" t="s">
        <v>70</v>
      </c>
      <c r="K142" s="4" t="s">
        <v>2593</v>
      </c>
    </row>
    <row r="143" spans="1:11" x14ac:dyDescent="0.2">
      <c r="A143" s="4" t="s">
        <v>2594</v>
      </c>
      <c r="B143" s="4" t="s">
        <v>1832</v>
      </c>
      <c r="C143" s="4" t="s">
        <v>2089</v>
      </c>
      <c r="D143" s="4" t="s">
        <v>2595</v>
      </c>
      <c r="E143" s="4" t="s">
        <v>2596</v>
      </c>
      <c r="F143" s="4" t="s">
        <v>2217</v>
      </c>
      <c r="G143" s="4" t="s">
        <v>48</v>
      </c>
      <c r="H143" s="4" t="s">
        <v>1939</v>
      </c>
      <c r="I143" s="4" t="s">
        <v>1997</v>
      </c>
      <c r="J143" s="4" t="s">
        <v>72</v>
      </c>
      <c r="K143" s="4" t="s">
        <v>2118</v>
      </c>
    </row>
    <row r="144" spans="1:11" x14ac:dyDescent="0.2">
      <c r="A144" s="4" t="s">
        <v>2597</v>
      </c>
      <c r="B144" s="4" t="s">
        <v>1539</v>
      </c>
      <c r="C144" s="4" t="s">
        <v>2598</v>
      </c>
      <c r="D144" s="4" t="s">
        <v>2599</v>
      </c>
      <c r="E144" s="4" t="s">
        <v>2600</v>
      </c>
      <c r="F144" s="4" t="s">
        <v>2128</v>
      </c>
      <c r="G144" s="4" t="s">
        <v>48</v>
      </c>
      <c r="H144" s="4" t="s">
        <v>1939</v>
      </c>
      <c r="I144" s="4" t="s">
        <v>1940</v>
      </c>
      <c r="J144" s="4" t="s">
        <v>70</v>
      </c>
      <c r="K144" s="4" t="s">
        <v>2601</v>
      </c>
    </row>
    <row r="145" spans="1:11" x14ac:dyDescent="0.2">
      <c r="A145" s="4" t="s">
        <v>2602</v>
      </c>
      <c r="B145" s="4" t="s">
        <v>1855</v>
      </c>
      <c r="C145" s="4" t="s">
        <v>1962</v>
      </c>
      <c r="D145" s="4" t="s">
        <v>2603</v>
      </c>
      <c r="E145" s="4" t="s">
        <v>2604</v>
      </c>
      <c r="F145" s="4" t="s">
        <v>1975</v>
      </c>
      <c r="G145" s="4" t="s">
        <v>48</v>
      </c>
      <c r="H145" s="4" t="s">
        <v>1939</v>
      </c>
      <c r="I145" s="4" t="s">
        <v>1997</v>
      </c>
      <c r="J145" s="4" t="s">
        <v>72</v>
      </c>
      <c r="K145" s="4" t="s">
        <v>2605</v>
      </c>
    </row>
    <row r="146" spans="1:11" x14ac:dyDescent="0.2">
      <c r="A146" s="4" t="s">
        <v>2606</v>
      </c>
      <c r="B146" s="4" t="s">
        <v>1580</v>
      </c>
      <c r="C146" s="4" t="s">
        <v>2607</v>
      </c>
      <c r="D146" s="4" t="s">
        <v>2608</v>
      </c>
      <c r="E146" s="4" t="s">
        <v>2609</v>
      </c>
      <c r="F146" s="4" t="s">
        <v>1964</v>
      </c>
      <c r="G146" s="4" t="s">
        <v>48</v>
      </c>
      <c r="H146" s="4" t="s">
        <v>1939</v>
      </c>
      <c r="I146" s="4" t="s">
        <v>1959</v>
      </c>
      <c r="J146" s="4" t="s">
        <v>69</v>
      </c>
      <c r="K146" s="4" t="s">
        <v>2610</v>
      </c>
    </row>
    <row r="147" spans="1:11" x14ac:dyDescent="0.2">
      <c r="A147" s="4" t="s">
        <v>2611</v>
      </c>
      <c r="B147" s="4" t="s">
        <v>1883</v>
      </c>
      <c r="C147" s="4" t="s">
        <v>2612</v>
      </c>
      <c r="D147" s="4" t="s">
        <v>2613</v>
      </c>
      <c r="E147" s="4" t="s">
        <v>1821</v>
      </c>
      <c r="F147" s="4" t="s">
        <v>1946</v>
      </c>
      <c r="G147" s="4" t="s">
        <v>50</v>
      </c>
      <c r="H147" s="4" t="s">
        <v>1939</v>
      </c>
      <c r="I147" s="4" t="s">
        <v>1959</v>
      </c>
      <c r="J147" s="4" t="s">
        <v>69</v>
      </c>
      <c r="K147" s="4" t="s">
        <v>2346</v>
      </c>
    </row>
    <row r="148" spans="1:11" x14ac:dyDescent="0.2">
      <c r="A148" s="4" t="s">
        <v>2614</v>
      </c>
      <c r="B148" s="4" t="s">
        <v>1698</v>
      </c>
      <c r="C148" s="4" t="s">
        <v>2615</v>
      </c>
      <c r="D148" s="4" t="s">
        <v>2616</v>
      </c>
      <c r="E148" s="4" t="s">
        <v>2617</v>
      </c>
      <c r="F148" s="4" t="s">
        <v>2018</v>
      </c>
      <c r="G148" s="4" t="s">
        <v>48</v>
      </c>
      <c r="H148" s="4" t="s">
        <v>1939</v>
      </c>
      <c r="I148" s="4" t="s">
        <v>1997</v>
      </c>
      <c r="J148" s="4" t="s">
        <v>70</v>
      </c>
      <c r="K148" s="4" t="s">
        <v>2618</v>
      </c>
    </row>
    <row r="149" spans="1:11" x14ac:dyDescent="0.2">
      <c r="A149" s="4" t="s">
        <v>2619</v>
      </c>
      <c r="B149" s="4" t="s">
        <v>1902</v>
      </c>
      <c r="C149" s="4" t="s">
        <v>2136</v>
      </c>
      <c r="D149" s="4" t="s">
        <v>2620</v>
      </c>
      <c r="E149" s="4" t="s">
        <v>2621</v>
      </c>
      <c r="F149" s="4" t="s">
        <v>2018</v>
      </c>
      <c r="G149" s="4" t="s">
        <v>48</v>
      </c>
      <c r="H149" s="4" t="s">
        <v>1939</v>
      </c>
      <c r="I149" s="4" t="s">
        <v>1997</v>
      </c>
      <c r="J149" s="4" t="s">
        <v>70</v>
      </c>
      <c r="K149" s="4" t="s">
        <v>2622</v>
      </c>
    </row>
    <row r="150" spans="1:11" x14ac:dyDescent="0.2">
      <c r="A150" s="4" t="s">
        <v>2623</v>
      </c>
      <c r="B150" s="4" t="s">
        <v>1787</v>
      </c>
      <c r="C150" s="4" t="s">
        <v>2624</v>
      </c>
      <c r="D150" s="4" t="s">
        <v>2625</v>
      </c>
      <c r="E150" s="4" t="s">
        <v>2626</v>
      </c>
      <c r="F150" s="4" t="s">
        <v>2102</v>
      </c>
      <c r="G150" s="4" t="s">
        <v>48</v>
      </c>
      <c r="H150" s="4" t="s">
        <v>1939</v>
      </c>
      <c r="I150" s="4" t="s">
        <v>1969</v>
      </c>
      <c r="J150" s="4" t="s">
        <v>70</v>
      </c>
      <c r="K150" s="4" t="s">
        <v>2165</v>
      </c>
    </row>
    <row r="151" spans="1:11" x14ac:dyDescent="0.2">
      <c r="A151" s="4" t="s">
        <v>2627</v>
      </c>
      <c r="B151" s="4" t="s">
        <v>1511</v>
      </c>
      <c r="C151" s="4" t="s">
        <v>2628</v>
      </c>
      <c r="D151" s="4" t="s">
        <v>2629</v>
      </c>
      <c r="E151" s="4" t="s">
        <v>2630</v>
      </c>
      <c r="F151" s="4" t="s">
        <v>2108</v>
      </c>
      <c r="G151" s="4" t="s">
        <v>48</v>
      </c>
      <c r="H151" s="4" t="s">
        <v>1939</v>
      </c>
      <c r="I151" s="4" t="s">
        <v>1969</v>
      </c>
      <c r="J151" s="4" t="s">
        <v>69</v>
      </c>
      <c r="K151" s="4" t="s">
        <v>2038</v>
      </c>
    </row>
    <row r="152" spans="1:11" x14ac:dyDescent="0.2">
      <c r="A152" s="4" t="s">
        <v>2631</v>
      </c>
      <c r="B152" s="4" t="s">
        <v>1505</v>
      </c>
      <c r="C152" s="4" t="s">
        <v>2312</v>
      </c>
      <c r="D152" s="4" t="s">
        <v>2632</v>
      </c>
      <c r="E152" s="4" t="s">
        <v>2633</v>
      </c>
      <c r="F152" s="4" t="s">
        <v>2043</v>
      </c>
      <c r="G152" s="4" t="s">
        <v>49</v>
      </c>
      <c r="H152" s="4" t="s">
        <v>1939</v>
      </c>
      <c r="I152" s="4" t="s">
        <v>1969</v>
      </c>
      <c r="J152" s="4" t="s">
        <v>72</v>
      </c>
      <c r="K152" s="4" t="s">
        <v>2498</v>
      </c>
    </row>
    <row r="153" spans="1:11" x14ac:dyDescent="0.2">
      <c r="A153" s="4" t="s">
        <v>2634</v>
      </c>
      <c r="B153" s="4" t="s">
        <v>1670</v>
      </c>
      <c r="C153" s="4" t="s">
        <v>2466</v>
      </c>
      <c r="D153" s="4" t="s">
        <v>2635</v>
      </c>
      <c r="E153" s="4" t="s">
        <v>1542</v>
      </c>
      <c r="F153" s="4" t="s">
        <v>1946</v>
      </c>
      <c r="G153" s="4" t="s">
        <v>49</v>
      </c>
      <c r="H153" s="4" t="s">
        <v>1939</v>
      </c>
      <c r="I153" s="4" t="s">
        <v>1969</v>
      </c>
      <c r="J153" s="4" t="s">
        <v>72</v>
      </c>
      <c r="K153" s="4" t="s">
        <v>2636</v>
      </c>
    </row>
    <row r="154" spans="1:11" x14ac:dyDescent="0.2">
      <c r="A154" s="4" t="s">
        <v>2637</v>
      </c>
      <c r="B154" s="4" t="s">
        <v>1550</v>
      </c>
      <c r="C154" s="4" t="s">
        <v>2638</v>
      </c>
      <c r="D154" s="4" t="s">
        <v>2639</v>
      </c>
      <c r="E154" s="4" t="s">
        <v>2640</v>
      </c>
      <c r="F154" s="4" t="s">
        <v>2108</v>
      </c>
      <c r="G154" s="4" t="s">
        <v>50</v>
      </c>
      <c r="H154" s="4" t="s">
        <v>2057</v>
      </c>
      <c r="I154" s="4" t="s">
        <v>1959</v>
      </c>
      <c r="J154" s="4" t="s">
        <v>68</v>
      </c>
      <c r="K154" s="4" t="s">
        <v>2400</v>
      </c>
    </row>
    <row r="155" spans="1:11" x14ac:dyDescent="0.2">
      <c r="A155" s="4" t="s">
        <v>2641</v>
      </c>
      <c r="B155" s="4" t="s">
        <v>1805</v>
      </c>
      <c r="C155" s="4" t="s">
        <v>2024</v>
      </c>
      <c r="D155" s="4" t="s">
        <v>2642</v>
      </c>
      <c r="E155" s="4" t="s">
        <v>2643</v>
      </c>
      <c r="F155" s="4" t="s">
        <v>2159</v>
      </c>
      <c r="G155" s="4" t="s">
        <v>48</v>
      </c>
      <c r="H155" s="4" t="s">
        <v>1939</v>
      </c>
      <c r="I155" s="4" t="s">
        <v>1940</v>
      </c>
      <c r="J155" s="4" t="s">
        <v>70</v>
      </c>
      <c r="K155" s="4" t="s">
        <v>2644</v>
      </c>
    </row>
    <row r="156" spans="1:11" x14ac:dyDescent="0.2">
      <c r="A156" s="4" t="s">
        <v>2645</v>
      </c>
      <c r="B156" s="4" t="s">
        <v>1659</v>
      </c>
      <c r="C156" s="4" t="s">
        <v>2646</v>
      </c>
      <c r="D156" s="4" t="s">
        <v>2647</v>
      </c>
      <c r="E156" s="4" t="s">
        <v>2648</v>
      </c>
      <c r="F156" s="4" t="s">
        <v>2193</v>
      </c>
      <c r="G156" s="4" t="s">
        <v>49</v>
      </c>
      <c r="H156" s="4" t="s">
        <v>1939</v>
      </c>
      <c r="I156" s="4" t="s">
        <v>1959</v>
      </c>
      <c r="J156" s="4" t="s">
        <v>70</v>
      </c>
      <c r="K156" s="4" t="s">
        <v>2649</v>
      </c>
    </row>
    <row r="157" spans="1:11" x14ac:dyDescent="0.2">
      <c r="A157" s="4" t="s">
        <v>2650</v>
      </c>
      <c r="B157" s="4" t="s">
        <v>1566</v>
      </c>
      <c r="C157" s="4" t="s">
        <v>2245</v>
      </c>
      <c r="D157" s="4" t="s">
        <v>2651</v>
      </c>
      <c r="E157" s="4" t="s">
        <v>1556</v>
      </c>
      <c r="F157" s="4" t="s">
        <v>2108</v>
      </c>
      <c r="G157" s="4" t="s">
        <v>49</v>
      </c>
      <c r="H157" s="4" t="s">
        <v>1939</v>
      </c>
      <c r="I157" s="4" t="s">
        <v>1969</v>
      </c>
      <c r="J157" s="4" t="s">
        <v>70</v>
      </c>
      <c r="K157" s="4" t="s">
        <v>2652</v>
      </c>
    </row>
    <row r="158" spans="1:11" x14ac:dyDescent="0.2">
      <c r="A158" s="4" t="s">
        <v>2653</v>
      </c>
      <c r="B158" s="4" t="s">
        <v>1808</v>
      </c>
      <c r="C158" s="4" t="s">
        <v>2654</v>
      </c>
      <c r="D158" s="4" t="s">
        <v>2655</v>
      </c>
      <c r="E158" s="4" t="s">
        <v>2656</v>
      </c>
      <c r="F158" s="4" t="s">
        <v>2043</v>
      </c>
      <c r="G158" s="4" t="s">
        <v>48</v>
      </c>
      <c r="H158" s="4" t="s">
        <v>1939</v>
      </c>
      <c r="I158" s="4" t="s">
        <v>1940</v>
      </c>
      <c r="J158" s="4" t="s">
        <v>72</v>
      </c>
      <c r="K158" s="4" t="s">
        <v>2243</v>
      </c>
    </row>
    <row r="159" spans="1:11" x14ac:dyDescent="0.2">
      <c r="A159" s="4" t="s">
        <v>2657</v>
      </c>
      <c r="B159" s="4" t="s">
        <v>1611</v>
      </c>
      <c r="C159" s="4" t="s">
        <v>2253</v>
      </c>
      <c r="D159" s="4" t="s">
        <v>2658</v>
      </c>
      <c r="E159" s="4" t="s">
        <v>2659</v>
      </c>
      <c r="F159" s="4" t="s">
        <v>2367</v>
      </c>
      <c r="G159" s="4" t="s">
        <v>50</v>
      </c>
      <c r="H159" s="4" t="s">
        <v>1939</v>
      </c>
      <c r="I159" s="4" t="s">
        <v>1997</v>
      </c>
      <c r="J159" s="4" t="s">
        <v>72</v>
      </c>
      <c r="K159" s="4" t="s">
        <v>2660</v>
      </c>
    </row>
    <row r="160" spans="1:11" x14ac:dyDescent="0.2">
      <c r="A160" s="4" t="s">
        <v>2661</v>
      </c>
      <c r="B160" s="4" t="s">
        <v>1695</v>
      </c>
      <c r="C160" s="4" t="s">
        <v>2475</v>
      </c>
      <c r="D160" s="4" t="s">
        <v>2662</v>
      </c>
      <c r="E160" s="4" t="s">
        <v>2663</v>
      </c>
      <c r="F160" s="4" t="s">
        <v>2102</v>
      </c>
      <c r="G160" s="4" t="s">
        <v>48</v>
      </c>
      <c r="H160" s="4" t="s">
        <v>1939</v>
      </c>
      <c r="I160" s="4" t="s">
        <v>1959</v>
      </c>
      <c r="J160" s="4" t="s">
        <v>70</v>
      </c>
      <c r="K160" s="4" t="s">
        <v>2664</v>
      </c>
    </row>
    <row r="161" spans="1:11" x14ac:dyDescent="0.2">
      <c r="A161" s="4" t="s">
        <v>2665</v>
      </c>
      <c r="B161" s="4" t="s">
        <v>1832</v>
      </c>
      <c r="C161" s="4" t="s">
        <v>2089</v>
      </c>
      <c r="D161" s="4" t="s">
        <v>2666</v>
      </c>
      <c r="E161" s="4" t="s">
        <v>2667</v>
      </c>
      <c r="F161" s="4" t="s">
        <v>1981</v>
      </c>
      <c r="G161" s="4" t="s">
        <v>49</v>
      </c>
      <c r="H161" s="4" t="s">
        <v>1939</v>
      </c>
      <c r="I161" s="4" t="s">
        <v>1959</v>
      </c>
      <c r="J161" s="4" t="s">
        <v>72</v>
      </c>
      <c r="K161" s="4" t="s">
        <v>2668</v>
      </c>
    </row>
    <row r="162" spans="1:11" x14ac:dyDescent="0.2">
      <c r="A162" s="4" t="s">
        <v>2669</v>
      </c>
      <c r="B162" s="4" t="s">
        <v>1673</v>
      </c>
      <c r="C162" s="4" t="s">
        <v>2670</v>
      </c>
      <c r="D162" s="4" t="s">
        <v>2671</v>
      </c>
      <c r="E162" s="4" t="s">
        <v>2672</v>
      </c>
      <c r="F162" s="4" t="s">
        <v>2002</v>
      </c>
      <c r="G162" s="4" t="s">
        <v>48</v>
      </c>
      <c r="H162" s="4" t="s">
        <v>1939</v>
      </c>
      <c r="I162" s="4" t="s">
        <v>1969</v>
      </c>
      <c r="J162" s="4" t="s">
        <v>69</v>
      </c>
      <c r="K162" s="4" t="s">
        <v>2567</v>
      </c>
    </row>
    <row r="163" spans="1:11" x14ac:dyDescent="0.2">
      <c r="A163" s="4" t="s">
        <v>2673</v>
      </c>
      <c r="B163" s="4" t="s">
        <v>1865</v>
      </c>
      <c r="C163" s="4" t="s">
        <v>1972</v>
      </c>
      <c r="D163" s="4" t="s">
        <v>2674</v>
      </c>
      <c r="E163" s="4" t="s">
        <v>2399</v>
      </c>
      <c r="F163" s="4" t="s">
        <v>1938</v>
      </c>
      <c r="G163" s="4" t="s">
        <v>49</v>
      </c>
      <c r="H163" s="4" t="s">
        <v>1939</v>
      </c>
      <c r="I163" s="4" t="s">
        <v>1959</v>
      </c>
      <c r="J163" s="4" t="s">
        <v>69</v>
      </c>
      <c r="K163" s="4" t="s">
        <v>2675</v>
      </c>
    </row>
    <row r="164" spans="1:11" x14ac:dyDescent="0.2">
      <c r="A164" s="4" t="s">
        <v>2676</v>
      </c>
      <c r="B164" s="4" t="s">
        <v>1832</v>
      </c>
      <c r="C164" s="4" t="s">
        <v>2089</v>
      </c>
      <c r="D164" s="4" t="s">
        <v>2677</v>
      </c>
      <c r="E164" s="4" t="s">
        <v>2678</v>
      </c>
      <c r="F164" s="4" t="s">
        <v>1975</v>
      </c>
      <c r="G164" s="4" t="s">
        <v>48</v>
      </c>
      <c r="H164" s="4" t="s">
        <v>1939</v>
      </c>
      <c r="I164" s="4" t="s">
        <v>1959</v>
      </c>
      <c r="J164" s="4" t="s">
        <v>72</v>
      </c>
      <c r="K164" s="4" t="s">
        <v>2679</v>
      </c>
    </row>
    <row r="165" spans="1:11" x14ac:dyDescent="0.2">
      <c r="A165" s="4" t="s">
        <v>2680</v>
      </c>
      <c r="B165" s="4" t="s">
        <v>1798</v>
      </c>
      <c r="C165" s="4" t="s">
        <v>1989</v>
      </c>
      <c r="D165" s="4" t="s">
        <v>2681</v>
      </c>
      <c r="E165" s="4" t="s">
        <v>2682</v>
      </c>
      <c r="F165" s="4" t="s">
        <v>2217</v>
      </c>
      <c r="G165" s="4" t="s">
        <v>49</v>
      </c>
      <c r="H165" s="4" t="s">
        <v>1939</v>
      </c>
      <c r="I165" s="4" t="s">
        <v>1997</v>
      </c>
      <c r="J165" s="4" t="s">
        <v>69</v>
      </c>
      <c r="K165" s="4" t="s">
        <v>2683</v>
      </c>
    </row>
    <row r="166" spans="1:11" x14ac:dyDescent="0.2">
      <c r="A166" s="4" t="s">
        <v>2684</v>
      </c>
      <c r="B166" s="4" t="s">
        <v>1709</v>
      </c>
      <c r="C166" s="4" t="s">
        <v>2685</v>
      </c>
      <c r="D166" s="4" t="s">
        <v>2686</v>
      </c>
      <c r="E166" s="4" t="s">
        <v>2687</v>
      </c>
      <c r="F166" s="4" t="s">
        <v>2018</v>
      </c>
      <c r="G166" s="4" t="s">
        <v>49</v>
      </c>
      <c r="H166" s="4" t="s">
        <v>1939</v>
      </c>
      <c r="I166" s="4" t="s">
        <v>1940</v>
      </c>
      <c r="J166" s="4" t="s">
        <v>72</v>
      </c>
      <c r="K166" s="4" t="s">
        <v>2144</v>
      </c>
    </row>
    <row r="167" spans="1:11" x14ac:dyDescent="0.2">
      <c r="A167" s="4" t="s">
        <v>2688</v>
      </c>
      <c r="B167" s="4" t="s">
        <v>1732</v>
      </c>
      <c r="C167" s="4" t="s">
        <v>2689</v>
      </c>
      <c r="D167" s="4" t="s">
        <v>2690</v>
      </c>
      <c r="E167" s="4" t="s">
        <v>2691</v>
      </c>
      <c r="F167" s="4" t="s">
        <v>2102</v>
      </c>
      <c r="G167" s="4" t="s">
        <v>49</v>
      </c>
      <c r="H167" s="4" t="s">
        <v>1939</v>
      </c>
      <c r="I167" s="4" t="s">
        <v>1997</v>
      </c>
      <c r="J167" s="4" t="s">
        <v>72</v>
      </c>
      <c r="K167" s="4" t="s">
        <v>2692</v>
      </c>
    </row>
    <row r="168" spans="1:11" x14ac:dyDescent="0.2">
      <c r="A168" s="4" t="s">
        <v>2693</v>
      </c>
      <c r="B168" s="4" t="s">
        <v>1760</v>
      </c>
      <c r="C168" s="4" t="s">
        <v>2694</v>
      </c>
      <c r="D168" s="4" t="s">
        <v>2695</v>
      </c>
      <c r="E168" s="4" t="s">
        <v>2696</v>
      </c>
      <c r="F168" s="4" t="s">
        <v>2102</v>
      </c>
      <c r="G168" s="4" t="s">
        <v>48</v>
      </c>
      <c r="H168" s="4" t="s">
        <v>1939</v>
      </c>
      <c r="I168" s="4" t="s">
        <v>1969</v>
      </c>
      <c r="J168" s="4" t="s">
        <v>70</v>
      </c>
      <c r="K168" s="4" t="s">
        <v>2581</v>
      </c>
    </row>
    <row r="169" spans="1:11" x14ac:dyDescent="0.2">
      <c r="A169" s="4" t="s">
        <v>2697</v>
      </c>
      <c r="B169" s="4" t="s">
        <v>1852</v>
      </c>
      <c r="C169" s="4" t="s">
        <v>2698</v>
      </c>
      <c r="D169" s="4" t="s">
        <v>2699</v>
      </c>
      <c r="E169" s="4" t="s">
        <v>2700</v>
      </c>
      <c r="F169" s="4" t="s">
        <v>1981</v>
      </c>
      <c r="G169" s="4" t="s">
        <v>48</v>
      </c>
      <c r="H169" s="4" t="s">
        <v>1939</v>
      </c>
      <c r="I169" s="4" t="s">
        <v>1997</v>
      </c>
      <c r="J169" s="4" t="s">
        <v>69</v>
      </c>
      <c r="K169" s="4" t="s">
        <v>2077</v>
      </c>
    </row>
    <row r="170" spans="1:11" x14ac:dyDescent="0.2">
      <c r="A170" s="4" t="s">
        <v>2701</v>
      </c>
      <c r="B170" s="4" t="s">
        <v>1887</v>
      </c>
      <c r="C170" s="4" t="s">
        <v>2702</v>
      </c>
      <c r="D170" s="4" t="s">
        <v>2703</v>
      </c>
      <c r="E170" s="4" t="s">
        <v>2704</v>
      </c>
      <c r="F170" s="4" t="s">
        <v>2108</v>
      </c>
      <c r="G170" s="4" t="s">
        <v>49</v>
      </c>
      <c r="H170" s="4" t="s">
        <v>1939</v>
      </c>
      <c r="I170" s="4" t="s">
        <v>1997</v>
      </c>
      <c r="J170" s="4" t="s">
        <v>69</v>
      </c>
      <c r="K170" s="4" t="s">
        <v>2705</v>
      </c>
    </row>
    <row r="171" spans="1:11" x14ac:dyDescent="0.2">
      <c r="A171" s="4" t="s">
        <v>2706</v>
      </c>
      <c r="B171" s="4" t="s">
        <v>1802</v>
      </c>
      <c r="C171" s="4" t="s">
        <v>2707</v>
      </c>
      <c r="D171" s="4" t="s">
        <v>2708</v>
      </c>
      <c r="E171" s="4" t="s">
        <v>2709</v>
      </c>
      <c r="F171" s="4" t="s">
        <v>2128</v>
      </c>
      <c r="G171" s="4" t="s">
        <v>48</v>
      </c>
      <c r="H171" s="4" t="s">
        <v>1939</v>
      </c>
      <c r="I171" s="4" t="s">
        <v>1940</v>
      </c>
      <c r="J171" s="4" t="s">
        <v>72</v>
      </c>
      <c r="K171" s="4" t="s">
        <v>2576</v>
      </c>
    </row>
    <row r="172" spans="1:11" x14ac:dyDescent="0.2">
      <c r="A172" s="4" t="s">
        <v>2710</v>
      </c>
      <c r="B172" s="4" t="s">
        <v>1872</v>
      </c>
      <c r="C172" s="4" t="s">
        <v>2364</v>
      </c>
      <c r="D172" s="4" t="s">
        <v>2711</v>
      </c>
      <c r="E172" s="4" t="s">
        <v>2712</v>
      </c>
      <c r="F172" s="4" t="s">
        <v>2128</v>
      </c>
      <c r="G172" s="4" t="s">
        <v>48</v>
      </c>
      <c r="H172" s="4" t="s">
        <v>1939</v>
      </c>
      <c r="I172" s="4" t="s">
        <v>1997</v>
      </c>
      <c r="J172" s="4" t="s">
        <v>72</v>
      </c>
      <c r="K172" s="4" t="s">
        <v>2713</v>
      </c>
    </row>
    <row r="173" spans="1:11" x14ac:dyDescent="0.2">
      <c r="A173" s="4" t="s">
        <v>2714</v>
      </c>
      <c r="B173" s="4" t="s">
        <v>1695</v>
      </c>
      <c r="C173" s="4" t="s">
        <v>2475</v>
      </c>
      <c r="D173" s="4" t="s">
        <v>2715</v>
      </c>
      <c r="E173" s="4" t="s">
        <v>2716</v>
      </c>
      <c r="F173" s="4" t="s">
        <v>2198</v>
      </c>
      <c r="G173" s="4" t="s">
        <v>48</v>
      </c>
      <c r="H173" s="4" t="s">
        <v>1939</v>
      </c>
      <c r="I173" s="4" t="s">
        <v>1959</v>
      </c>
      <c r="J173" s="4" t="s">
        <v>70</v>
      </c>
      <c r="K173" s="4" t="s">
        <v>2483</v>
      </c>
    </row>
    <row r="174" spans="1:11" x14ac:dyDescent="0.2">
      <c r="A174" s="4" t="s">
        <v>2717</v>
      </c>
      <c r="B174" s="4" t="s">
        <v>1798</v>
      </c>
      <c r="C174" s="4" t="s">
        <v>1989</v>
      </c>
      <c r="D174" s="4" t="s">
        <v>2718</v>
      </c>
      <c r="E174" s="4" t="s">
        <v>2719</v>
      </c>
      <c r="F174" s="4" t="s">
        <v>1992</v>
      </c>
      <c r="G174" s="4" t="s">
        <v>49</v>
      </c>
      <c r="H174" s="4" t="s">
        <v>1939</v>
      </c>
      <c r="I174" s="4" t="s">
        <v>1969</v>
      </c>
      <c r="J174" s="4" t="s">
        <v>70</v>
      </c>
      <c r="K174" s="4" t="s">
        <v>2165</v>
      </c>
    </row>
    <row r="175" spans="1:11" x14ac:dyDescent="0.2">
      <c r="A175" s="4" t="s">
        <v>2720</v>
      </c>
      <c r="B175" s="4" t="s">
        <v>1890</v>
      </c>
      <c r="C175" s="4" t="s">
        <v>2721</v>
      </c>
      <c r="D175" s="4" t="s">
        <v>2722</v>
      </c>
      <c r="E175" s="4" t="s">
        <v>2723</v>
      </c>
      <c r="F175" s="4" t="s">
        <v>2367</v>
      </c>
      <c r="G175" s="4" t="s">
        <v>49</v>
      </c>
      <c r="H175" s="4" t="s">
        <v>1939</v>
      </c>
      <c r="I175" s="4" t="s">
        <v>1997</v>
      </c>
      <c r="J175" s="4" t="s">
        <v>70</v>
      </c>
      <c r="K175" s="4" t="s">
        <v>2724</v>
      </c>
    </row>
    <row r="176" spans="1:11" x14ac:dyDescent="0.2">
      <c r="A176" s="4" t="s">
        <v>2725</v>
      </c>
      <c r="B176" s="4" t="s">
        <v>1779</v>
      </c>
      <c r="C176" s="4" t="s">
        <v>2726</v>
      </c>
      <c r="D176" s="4" t="s">
        <v>2727</v>
      </c>
      <c r="E176" s="4" t="s">
        <v>2728</v>
      </c>
      <c r="F176" s="4" t="s">
        <v>2217</v>
      </c>
      <c r="G176" s="4" t="s">
        <v>50</v>
      </c>
      <c r="H176" s="4" t="s">
        <v>1939</v>
      </c>
      <c r="I176" s="4" t="s">
        <v>1997</v>
      </c>
      <c r="J176" s="4" t="s">
        <v>70</v>
      </c>
      <c r="K176" s="4" t="s">
        <v>2044</v>
      </c>
    </row>
    <row r="177" spans="1:11" x14ac:dyDescent="0.2">
      <c r="A177" s="4" t="s">
        <v>2729</v>
      </c>
      <c r="B177" s="4" t="s">
        <v>1684</v>
      </c>
      <c r="C177" s="4" t="s">
        <v>2533</v>
      </c>
      <c r="D177" s="4" t="s">
        <v>2730</v>
      </c>
      <c r="E177" s="4" t="s">
        <v>2419</v>
      </c>
      <c r="F177" s="4" t="s">
        <v>2002</v>
      </c>
      <c r="G177" s="4" t="s">
        <v>50</v>
      </c>
      <c r="H177" s="4" t="s">
        <v>1939</v>
      </c>
      <c r="I177" s="4" t="s">
        <v>1997</v>
      </c>
      <c r="J177" s="4" t="s">
        <v>72</v>
      </c>
      <c r="K177" s="4" t="s">
        <v>2731</v>
      </c>
    </row>
    <row r="178" spans="1:11" x14ac:dyDescent="0.2">
      <c r="A178" s="4" t="s">
        <v>2732</v>
      </c>
      <c r="B178" s="4" t="s">
        <v>1848</v>
      </c>
      <c r="C178" s="4" t="s">
        <v>2733</v>
      </c>
      <c r="D178" s="4" t="s">
        <v>2734</v>
      </c>
      <c r="E178" s="4" t="s">
        <v>2735</v>
      </c>
      <c r="F178" s="4" t="s">
        <v>2198</v>
      </c>
      <c r="G178" s="4" t="s">
        <v>48</v>
      </c>
      <c r="H178" s="4" t="s">
        <v>1939</v>
      </c>
      <c r="I178" s="4" t="s">
        <v>1940</v>
      </c>
      <c r="J178" s="4" t="s">
        <v>72</v>
      </c>
      <c r="K178" s="4" t="s">
        <v>1998</v>
      </c>
    </row>
    <row r="179" spans="1:11" x14ac:dyDescent="0.2">
      <c r="A179" s="4" t="s">
        <v>2736</v>
      </c>
      <c r="B179" s="4" t="s">
        <v>1583</v>
      </c>
      <c r="C179" s="4" t="s">
        <v>2737</v>
      </c>
      <c r="D179" s="4" t="s">
        <v>2738</v>
      </c>
      <c r="E179" s="4" t="s">
        <v>2739</v>
      </c>
      <c r="F179" s="4" t="s">
        <v>2043</v>
      </c>
      <c r="G179" s="4" t="s">
        <v>48</v>
      </c>
      <c r="H179" s="4" t="s">
        <v>1939</v>
      </c>
      <c r="I179" s="4" t="s">
        <v>1969</v>
      </c>
      <c r="J179" s="4" t="s">
        <v>69</v>
      </c>
      <c r="K179" s="4" t="s">
        <v>2165</v>
      </c>
    </row>
    <row r="180" spans="1:11" x14ac:dyDescent="0.2">
      <c r="A180" s="4" t="s">
        <v>2740</v>
      </c>
      <c r="B180" s="4" t="s">
        <v>1572</v>
      </c>
      <c r="C180" s="4" t="s">
        <v>2387</v>
      </c>
      <c r="D180" s="4" t="s">
        <v>2741</v>
      </c>
      <c r="E180" s="4" t="s">
        <v>2742</v>
      </c>
      <c r="F180" s="4" t="s">
        <v>2198</v>
      </c>
      <c r="G180" s="4" t="s">
        <v>48</v>
      </c>
      <c r="H180" s="4" t="s">
        <v>1939</v>
      </c>
      <c r="I180" s="4" t="s">
        <v>1969</v>
      </c>
      <c r="J180" s="4" t="s">
        <v>69</v>
      </c>
      <c r="K180" s="4" t="s">
        <v>2743</v>
      </c>
    </row>
    <row r="181" spans="1:11" x14ac:dyDescent="0.2">
      <c r="A181" s="4" t="s">
        <v>2744</v>
      </c>
      <c r="B181" s="4" t="s">
        <v>1920</v>
      </c>
      <c r="C181" s="4" t="s">
        <v>2745</v>
      </c>
      <c r="D181" s="4" t="s">
        <v>2746</v>
      </c>
      <c r="E181" s="4" t="s">
        <v>2747</v>
      </c>
      <c r="F181" s="4" t="s">
        <v>1964</v>
      </c>
      <c r="G181" s="4" t="s">
        <v>49</v>
      </c>
      <c r="H181" s="4" t="s">
        <v>1939</v>
      </c>
      <c r="I181" s="4" t="s">
        <v>1959</v>
      </c>
      <c r="J181" s="4" t="s">
        <v>72</v>
      </c>
      <c r="K181" s="4" t="s">
        <v>2748</v>
      </c>
    </row>
    <row r="182" spans="1:11" x14ac:dyDescent="0.2">
      <c r="A182" s="4" t="s">
        <v>2749</v>
      </c>
      <c r="B182" s="4" t="s">
        <v>1702</v>
      </c>
      <c r="C182" s="4" t="s">
        <v>2750</v>
      </c>
      <c r="D182" s="4" t="s">
        <v>2751</v>
      </c>
      <c r="E182" s="4" t="s">
        <v>1637</v>
      </c>
      <c r="F182" s="4" t="s">
        <v>2032</v>
      </c>
      <c r="G182" s="4" t="s">
        <v>48</v>
      </c>
      <c r="H182" s="4" t="s">
        <v>1939</v>
      </c>
      <c r="I182" s="4" t="s">
        <v>1997</v>
      </c>
      <c r="J182" s="4" t="s">
        <v>72</v>
      </c>
      <c r="K182" s="4" t="s">
        <v>2752</v>
      </c>
    </row>
    <row r="183" spans="1:11" x14ac:dyDescent="0.2">
      <c r="A183" s="4" t="s">
        <v>2753</v>
      </c>
      <c r="B183" s="4" t="s">
        <v>1655</v>
      </c>
      <c r="C183" s="4" t="s">
        <v>2754</v>
      </c>
      <c r="D183" s="4" t="s">
        <v>2755</v>
      </c>
      <c r="E183" s="4" t="s">
        <v>2756</v>
      </c>
      <c r="F183" s="4" t="s">
        <v>2128</v>
      </c>
      <c r="G183" s="4" t="s">
        <v>48</v>
      </c>
      <c r="H183" s="4" t="s">
        <v>1939</v>
      </c>
      <c r="I183" s="4" t="s">
        <v>1997</v>
      </c>
      <c r="J183" s="4" t="s">
        <v>70</v>
      </c>
      <c r="K183" s="4" t="s">
        <v>2336</v>
      </c>
    </row>
    <row r="184" spans="1:11" x14ac:dyDescent="0.2">
      <c r="A184" s="4" t="s">
        <v>2757</v>
      </c>
      <c r="B184" s="4" t="s">
        <v>1894</v>
      </c>
      <c r="C184" s="4" t="s">
        <v>2758</v>
      </c>
      <c r="D184" s="4" t="s">
        <v>2759</v>
      </c>
      <c r="E184" s="4" t="s">
        <v>1661</v>
      </c>
      <c r="F184" s="4" t="s">
        <v>1964</v>
      </c>
      <c r="G184" s="4" t="s">
        <v>48</v>
      </c>
      <c r="H184" s="4" t="s">
        <v>1939</v>
      </c>
      <c r="I184" s="4" t="s">
        <v>1959</v>
      </c>
      <c r="J184" s="4" t="s">
        <v>72</v>
      </c>
      <c r="K184" s="4" t="s">
        <v>2760</v>
      </c>
    </row>
    <row r="185" spans="1:11" x14ac:dyDescent="0.2">
      <c r="A185" s="4" t="s">
        <v>2761</v>
      </c>
      <c r="B185" s="4" t="s">
        <v>1624</v>
      </c>
      <c r="C185" s="4" t="s">
        <v>2762</v>
      </c>
      <c r="D185" s="4" t="s">
        <v>2763</v>
      </c>
      <c r="E185" s="4" t="s">
        <v>2764</v>
      </c>
      <c r="F185" s="4" t="s">
        <v>2043</v>
      </c>
      <c r="G185" s="4" t="s">
        <v>49</v>
      </c>
      <c r="H185" s="4" t="s">
        <v>1939</v>
      </c>
      <c r="I185" s="4" t="s">
        <v>1940</v>
      </c>
      <c r="J185" s="4" t="s">
        <v>70</v>
      </c>
      <c r="K185" s="4" t="s">
        <v>2760</v>
      </c>
    </row>
    <row r="186" spans="1:11" x14ac:dyDescent="0.2">
      <c r="A186" s="4" t="s">
        <v>2765</v>
      </c>
      <c r="B186" s="4" t="s">
        <v>1776</v>
      </c>
      <c r="C186" s="4" t="s">
        <v>2766</v>
      </c>
      <c r="D186" s="4" t="s">
        <v>2767</v>
      </c>
      <c r="E186" s="4" t="s">
        <v>2768</v>
      </c>
      <c r="F186" s="4" t="s">
        <v>2018</v>
      </c>
      <c r="G186" s="4" t="s">
        <v>48</v>
      </c>
      <c r="H186" s="4" t="s">
        <v>1939</v>
      </c>
      <c r="I186" s="4" t="s">
        <v>1997</v>
      </c>
      <c r="J186" s="4" t="s">
        <v>69</v>
      </c>
      <c r="K186" s="4" t="s">
        <v>2769</v>
      </c>
    </row>
    <row r="187" spans="1:11" x14ac:dyDescent="0.2">
      <c r="A187" s="4" t="s">
        <v>2770</v>
      </c>
      <c r="B187" s="4" t="s">
        <v>1868</v>
      </c>
      <c r="C187" s="4" t="s">
        <v>1967</v>
      </c>
      <c r="D187" s="4" t="s">
        <v>2771</v>
      </c>
      <c r="E187" s="4" t="s">
        <v>2772</v>
      </c>
      <c r="F187" s="4" t="s">
        <v>2198</v>
      </c>
      <c r="G187" s="4" t="s">
        <v>49</v>
      </c>
      <c r="H187" s="4" t="s">
        <v>1939</v>
      </c>
      <c r="I187" s="4" t="s">
        <v>1997</v>
      </c>
      <c r="J187" s="4" t="s">
        <v>69</v>
      </c>
      <c r="K187" s="4" t="s">
        <v>2773</v>
      </c>
    </row>
    <row r="188" spans="1:11" x14ac:dyDescent="0.2">
      <c r="A188" s="4" t="s">
        <v>2774</v>
      </c>
      <c r="B188" s="4" t="s">
        <v>1550</v>
      </c>
      <c r="C188" s="4" t="s">
        <v>2775</v>
      </c>
      <c r="D188" s="4" t="s">
        <v>2776</v>
      </c>
      <c r="E188" s="4" t="s">
        <v>2777</v>
      </c>
      <c r="F188" s="4" t="s">
        <v>1975</v>
      </c>
      <c r="G188" s="4" t="s">
        <v>49</v>
      </c>
      <c r="H188" s="4" t="s">
        <v>1939</v>
      </c>
      <c r="I188" s="4" t="s">
        <v>1940</v>
      </c>
      <c r="J188" s="4" t="s">
        <v>72</v>
      </c>
      <c r="K188" s="4" t="s">
        <v>2778</v>
      </c>
    </row>
    <row r="189" spans="1:11" x14ac:dyDescent="0.2">
      <c r="A189" s="4" t="s">
        <v>2779</v>
      </c>
      <c r="B189" s="4" t="s">
        <v>1716</v>
      </c>
      <c r="C189" s="4" t="s">
        <v>2780</v>
      </c>
      <c r="D189" s="4" t="s">
        <v>2781</v>
      </c>
      <c r="E189" s="4" t="s">
        <v>1770</v>
      </c>
      <c r="F189" s="4" t="s">
        <v>2108</v>
      </c>
      <c r="G189" s="4" t="s">
        <v>50</v>
      </c>
      <c r="H189" s="4" t="s">
        <v>2057</v>
      </c>
      <c r="I189" s="4" t="s">
        <v>1969</v>
      </c>
      <c r="J189" s="4" t="s">
        <v>72</v>
      </c>
      <c r="K189" s="4" t="s">
        <v>2362</v>
      </c>
    </row>
    <row r="190" spans="1:11" x14ac:dyDescent="0.2">
      <c r="A190" s="4" t="s">
        <v>2782</v>
      </c>
      <c r="B190" s="4" t="s">
        <v>1779</v>
      </c>
      <c r="C190" s="4" t="s">
        <v>2225</v>
      </c>
      <c r="D190" s="4" t="s">
        <v>2783</v>
      </c>
      <c r="E190" s="4" t="s">
        <v>2784</v>
      </c>
      <c r="F190" s="4" t="s">
        <v>1992</v>
      </c>
      <c r="G190" s="4" t="s">
        <v>49</v>
      </c>
      <c r="H190" s="4" t="s">
        <v>1939</v>
      </c>
      <c r="I190" s="4" t="s">
        <v>1959</v>
      </c>
      <c r="J190" s="4" t="s">
        <v>69</v>
      </c>
      <c r="K190" s="4" t="s">
        <v>2473</v>
      </c>
    </row>
    <row r="191" spans="1:11" x14ac:dyDescent="0.2">
      <c r="A191" s="4" t="s">
        <v>2785</v>
      </c>
      <c r="B191" s="4" t="s">
        <v>1824</v>
      </c>
      <c r="C191" s="4" t="s">
        <v>2573</v>
      </c>
      <c r="D191" s="4" t="s">
        <v>2786</v>
      </c>
      <c r="E191" s="4" t="s">
        <v>2787</v>
      </c>
      <c r="F191" s="4" t="s">
        <v>2193</v>
      </c>
      <c r="G191" s="4" t="s">
        <v>50</v>
      </c>
      <c r="H191" s="4" t="s">
        <v>2057</v>
      </c>
      <c r="I191" s="4" t="s">
        <v>1940</v>
      </c>
      <c r="J191" s="4" t="s">
        <v>70</v>
      </c>
      <c r="K191" s="4" t="s">
        <v>2788</v>
      </c>
    </row>
    <row r="192" spans="1:11" x14ac:dyDescent="0.2">
      <c r="A192" s="4" t="s">
        <v>2789</v>
      </c>
      <c r="B192" s="4" t="s">
        <v>1498</v>
      </c>
      <c r="C192" s="4" t="s">
        <v>2790</v>
      </c>
      <c r="D192" s="4" t="s">
        <v>2791</v>
      </c>
      <c r="E192" s="4" t="s">
        <v>2792</v>
      </c>
      <c r="F192" s="4" t="s">
        <v>2043</v>
      </c>
      <c r="G192" s="4" t="s">
        <v>50</v>
      </c>
      <c r="H192" s="4" t="s">
        <v>2057</v>
      </c>
      <c r="I192" s="4" t="s">
        <v>1997</v>
      </c>
      <c r="J192" s="4" t="s">
        <v>70</v>
      </c>
      <c r="K192" s="4" t="s">
        <v>2793</v>
      </c>
    </row>
    <row r="193" spans="1:11" x14ac:dyDescent="0.2">
      <c r="A193" s="4" t="s">
        <v>2794</v>
      </c>
      <c r="B193" s="4" t="s">
        <v>1787</v>
      </c>
      <c r="C193" s="4" t="s">
        <v>2795</v>
      </c>
      <c r="D193" s="4" t="s">
        <v>2796</v>
      </c>
      <c r="E193" s="4" t="s">
        <v>2797</v>
      </c>
      <c r="F193" s="4" t="s">
        <v>1938</v>
      </c>
      <c r="G193" s="4" t="s">
        <v>49</v>
      </c>
      <c r="H193" s="4" t="s">
        <v>1939</v>
      </c>
      <c r="I193" s="4" t="s">
        <v>1969</v>
      </c>
      <c r="J193" s="4" t="s">
        <v>72</v>
      </c>
      <c r="K193" s="4" t="s">
        <v>2798</v>
      </c>
    </row>
    <row r="194" spans="1:11" x14ac:dyDescent="0.2">
      <c r="A194" s="4" t="s">
        <v>2799</v>
      </c>
      <c r="B194" s="4" t="s">
        <v>1906</v>
      </c>
      <c r="C194" s="4" t="s">
        <v>2162</v>
      </c>
      <c r="D194" s="4" t="s">
        <v>2800</v>
      </c>
      <c r="E194" s="4" t="s">
        <v>2801</v>
      </c>
      <c r="F194" s="4" t="s">
        <v>1938</v>
      </c>
      <c r="G194" s="4" t="s">
        <v>48</v>
      </c>
      <c r="H194" s="4" t="s">
        <v>1939</v>
      </c>
      <c r="I194" s="4" t="s">
        <v>1940</v>
      </c>
      <c r="J194" s="4" t="s">
        <v>69</v>
      </c>
      <c r="K194" s="4" t="s">
        <v>2802</v>
      </c>
    </row>
    <row r="195" spans="1:11" x14ac:dyDescent="0.2">
      <c r="A195" s="4" t="s">
        <v>2803</v>
      </c>
      <c r="B195" s="4" t="s">
        <v>1883</v>
      </c>
      <c r="C195" s="4" t="s">
        <v>2612</v>
      </c>
      <c r="D195" s="4" t="s">
        <v>2804</v>
      </c>
      <c r="E195" s="4" t="s">
        <v>2805</v>
      </c>
      <c r="F195" s="4" t="s">
        <v>2102</v>
      </c>
      <c r="G195" s="4" t="s">
        <v>49</v>
      </c>
      <c r="H195" s="4" t="s">
        <v>1939</v>
      </c>
      <c r="I195" s="4" t="s">
        <v>1997</v>
      </c>
      <c r="J195" s="4" t="s">
        <v>70</v>
      </c>
      <c r="K195" s="4" t="s">
        <v>2806</v>
      </c>
    </row>
    <row r="196" spans="1:11" x14ac:dyDescent="0.2">
      <c r="A196" s="4" t="s">
        <v>2807</v>
      </c>
      <c r="B196" s="4" t="s">
        <v>1580</v>
      </c>
      <c r="C196" s="4" t="s">
        <v>2607</v>
      </c>
      <c r="D196" s="4" t="s">
        <v>2808</v>
      </c>
      <c r="E196" s="4" t="s">
        <v>2809</v>
      </c>
      <c r="F196" s="4" t="s">
        <v>2032</v>
      </c>
      <c r="G196" s="4" t="s">
        <v>49</v>
      </c>
      <c r="H196" s="4" t="s">
        <v>1939</v>
      </c>
      <c r="I196" s="4" t="s">
        <v>1940</v>
      </c>
      <c r="J196" s="4" t="s">
        <v>70</v>
      </c>
      <c r="K196" s="4" t="s">
        <v>2498</v>
      </c>
    </row>
    <row r="197" spans="1:11" x14ac:dyDescent="0.2">
      <c r="A197" s="4" t="s">
        <v>2810</v>
      </c>
      <c r="B197" s="4" t="s">
        <v>1858</v>
      </c>
      <c r="C197" s="4" t="s">
        <v>2457</v>
      </c>
      <c r="D197" s="4" t="s">
        <v>2811</v>
      </c>
      <c r="E197" s="4" t="s">
        <v>2812</v>
      </c>
      <c r="F197" s="4" t="s">
        <v>1992</v>
      </c>
      <c r="G197" s="4" t="s">
        <v>48</v>
      </c>
      <c r="H197" s="4" t="s">
        <v>1939</v>
      </c>
      <c r="I197" s="4" t="s">
        <v>1969</v>
      </c>
      <c r="J197" s="4" t="s">
        <v>69</v>
      </c>
      <c r="K197" s="4" t="s">
        <v>2813</v>
      </c>
    </row>
    <row r="198" spans="1:11" x14ac:dyDescent="0.2">
      <c r="A198" s="4" t="s">
        <v>2814</v>
      </c>
      <c r="B198" s="4" t="s">
        <v>1768</v>
      </c>
      <c r="C198" s="4" t="s">
        <v>2815</v>
      </c>
      <c r="D198" s="4" t="s">
        <v>2816</v>
      </c>
      <c r="E198" s="4" t="s">
        <v>2817</v>
      </c>
      <c r="F198" s="4" t="s">
        <v>2159</v>
      </c>
      <c r="G198" s="4" t="s">
        <v>48</v>
      </c>
      <c r="H198" s="4" t="s">
        <v>1939</v>
      </c>
      <c r="I198" s="4" t="s">
        <v>1969</v>
      </c>
      <c r="J198" s="4" t="s">
        <v>72</v>
      </c>
      <c r="K198" s="4" t="s">
        <v>2713</v>
      </c>
    </row>
    <row r="199" spans="1:11" x14ac:dyDescent="0.2">
      <c r="A199" s="4" t="s">
        <v>2818</v>
      </c>
      <c r="B199" s="4" t="s">
        <v>1716</v>
      </c>
      <c r="C199" s="4" t="s">
        <v>2819</v>
      </c>
      <c r="D199" s="4" t="s">
        <v>2820</v>
      </c>
      <c r="E199" s="4" t="s">
        <v>2821</v>
      </c>
      <c r="F199" s="4" t="s">
        <v>1958</v>
      </c>
      <c r="G199" s="4" t="s">
        <v>48</v>
      </c>
      <c r="H199" s="4" t="s">
        <v>1939</v>
      </c>
      <c r="I199" s="4" t="s">
        <v>1959</v>
      </c>
      <c r="J199" s="4" t="s">
        <v>70</v>
      </c>
      <c r="K199" s="4" t="s">
        <v>2822</v>
      </c>
    </row>
    <row r="200" spans="1:11" x14ac:dyDescent="0.2">
      <c r="A200" s="4" t="s">
        <v>2823</v>
      </c>
      <c r="B200" s="4" t="s">
        <v>1705</v>
      </c>
      <c r="C200" s="4" t="s">
        <v>2824</v>
      </c>
      <c r="D200" s="4" t="s">
        <v>2825</v>
      </c>
      <c r="E200" s="4" t="s">
        <v>2826</v>
      </c>
      <c r="F200" s="4" t="s">
        <v>1946</v>
      </c>
      <c r="G200" s="4" t="s">
        <v>49</v>
      </c>
      <c r="H200" s="4" t="s">
        <v>1939</v>
      </c>
      <c r="I200" s="4" t="s">
        <v>1940</v>
      </c>
      <c r="J200" s="4" t="s">
        <v>72</v>
      </c>
      <c r="K200" s="4" t="s">
        <v>2827</v>
      </c>
    </row>
    <row r="201" spans="1:11" x14ac:dyDescent="0.2">
      <c r="A201" s="4" t="s">
        <v>2828</v>
      </c>
      <c r="B201" s="4" t="s">
        <v>1662</v>
      </c>
      <c r="C201" s="4" t="s">
        <v>2829</v>
      </c>
      <c r="D201" s="4" t="s">
        <v>2830</v>
      </c>
      <c r="E201" s="4" t="s">
        <v>2831</v>
      </c>
      <c r="F201" s="4" t="s">
        <v>1952</v>
      </c>
      <c r="G201" s="4" t="s">
        <v>49</v>
      </c>
      <c r="H201" s="4" t="s">
        <v>1939</v>
      </c>
      <c r="I201" s="4" t="s">
        <v>1940</v>
      </c>
      <c r="J201" s="4" t="s">
        <v>72</v>
      </c>
      <c r="K201" s="4" t="s">
        <v>2832</v>
      </c>
    </row>
    <row r="202" spans="1:11" x14ac:dyDescent="0.2">
      <c r="A202" s="4" t="s">
        <v>2833</v>
      </c>
      <c r="B202" s="4" t="s">
        <v>1572</v>
      </c>
      <c r="C202" s="4" t="s">
        <v>2387</v>
      </c>
      <c r="D202" s="4" t="s">
        <v>2834</v>
      </c>
      <c r="E202" s="4" t="s">
        <v>1881</v>
      </c>
      <c r="F202" s="4" t="s">
        <v>2108</v>
      </c>
      <c r="G202" s="4" t="s">
        <v>50</v>
      </c>
      <c r="H202" s="4" t="s">
        <v>1939</v>
      </c>
      <c r="I202" s="4" t="s">
        <v>1997</v>
      </c>
      <c r="J202" s="4" t="s">
        <v>69</v>
      </c>
      <c r="K202" s="4" t="s">
        <v>2835</v>
      </c>
    </row>
    <row r="203" spans="1:11" x14ac:dyDescent="0.2">
      <c r="A203" s="4" t="s">
        <v>2836</v>
      </c>
      <c r="B203" s="4" t="s">
        <v>1861</v>
      </c>
      <c r="C203" s="4" t="s">
        <v>2837</v>
      </c>
      <c r="D203" s="4" t="s">
        <v>2838</v>
      </c>
      <c r="E203" s="4" t="s">
        <v>2839</v>
      </c>
      <c r="F203" s="4" t="s">
        <v>2128</v>
      </c>
      <c r="G203" s="4" t="s">
        <v>50</v>
      </c>
      <c r="H203" s="4" t="s">
        <v>2057</v>
      </c>
      <c r="I203" s="4" t="s">
        <v>1997</v>
      </c>
      <c r="J203" s="4" t="s">
        <v>69</v>
      </c>
      <c r="K203" s="4" t="s">
        <v>2840</v>
      </c>
    </row>
    <row r="204" spans="1:11" x14ac:dyDescent="0.2">
      <c r="A204" s="4" t="s">
        <v>2841</v>
      </c>
      <c r="B204" s="4" t="s">
        <v>1776</v>
      </c>
      <c r="C204" s="4" t="s">
        <v>2766</v>
      </c>
      <c r="D204" s="4" t="s">
        <v>2842</v>
      </c>
      <c r="E204" s="4" t="s">
        <v>2719</v>
      </c>
      <c r="F204" s="4" t="s">
        <v>2128</v>
      </c>
      <c r="G204" s="4" t="s">
        <v>48</v>
      </c>
      <c r="H204" s="4" t="s">
        <v>1939</v>
      </c>
      <c r="I204" s="4" t="s">
        <v>1969</v>
      </c>
      <c r="J204" s="4" t="s">
        <v>69</v>
      </c>
      <c r="K204" s="4" t="s">
        <v>2368</v>
      </c>
    </row>
    <row r="205" spans="1:11" x14ac:dyDescent="0.2">
      <c r="A205" s="4" t="s">
        <v>2843</v>
      </c>
      <c r="B205" s="4" t="s">
        <v>1580</v>
      </c>
      <c r="C205" s="4" t="s">
        <v>2844</v>
      </c>
      <c r="D205" s="4" t="s">
        <v>2845</v>
      </c>
      <c r="E205" s="4" t="s">
        <v>2846</v>
      </c>
      <c r="F205" s="4" t="s">
        <v>2032</v>
      </c>
      <c r="G205" s="4" t="s">
        <v>48</v>
      </c>
      <c r="H205" s="4" t="s">
        <v>1939</v>
      </c>
      <c r="I205" s="4" t="s">
        <v>1969</v>
      </c>
      <c r="J205" s="4" t="s">
        <v>70</v>
      </c>
      <c r="K205" s="4" t="s">
        <v>2847</v>
      </c>
    </row>
    <row r="206" spans="1:11" x14ac:dyDescent="0.2">
      <c r="A206" s="4" t="s">
        <v>2848</v>
      </c>
      <c r="B206" s="4" t="s">
        <v>1855</v>
      </c>
      <c r="C206" s="4" t="s">
        <v>2849</v>
      </c>
      <c r="D206" s="4" t="s">
        <v>2850</v>
      </c>
      <c r="E206" s="4" t="s">
        <v>2851</v>
      </c>
      <c r="F206" s="4" t="s">
        <v>2198</v>
      </c>
      <c r="G206" s="4" t="s">
        <v>49</v>
      </c>
      <c r="H206" s="4" t="s">
        <v>1939</v>
      </c>
      <c r="I206" s="4" t="s">
        <v>1940</v>
      </c>
      <c r="J206" s="4" t="s">
        <v>70</v>
      </c>
      <c r="K206" s="4" t="s">
        <v>2852</v>
      </c>
    </row>
    <row r="207" spans="1:11" x14ac:dyDescent="0.2">
      <c r="A207" s="4" t="s">
        <v>2853</v>
      </c>
      <c r="B207" s="4" t="s">
        <v>1569</v>
      </c>
      <c r="C207" s="4" t="s">
        <v>2854</v>
      </c>
      <c r="D207" s="4" t="s">
        <v>2855</v>
      </c>
      <c r="E207" s="4" t="s">
        <v>2856</v>
      </c>
      <c r="F207" s="4" t="s">
        <v>1952</v>
      </c>
      <c r="G207" s="4" t="s">
        <v>49</v>
      </c>
      <c r="H207" s="4" t="s">
        <v>1939</v>
      </c>
      <c r="I207" s="4" t="s">
        <v>1959</v>
      </c>
      <c r="J207" s="4" t="s">
        <v>70</v>
      </c>
      <c r="K207" s="4" t="s">
        <v>2507</v>
      </c>
    </row>
    <row r="208" spans="1:11" x14ac:dyDescent="0.2">
      <c r="A208" s="4" t="s">
        <v>2857</v>
      </c>
      <c r="B208" s="4" t="s">
        <v>1655</v>
      </c>
      <c r="C208" s="4" t="s">
        <v>2858</v>
      </c>
      <c r="D208" s="4" t="s">
        <v>2859</v>
      </c>
      <c r="E208" s="4" t="s">
        <v>2860</v>
      </c>
      <c r="F208" s="4" t="s">
        <v>2108</v>
      </c>
      <c r="G208" s="4" t="s">
        <v>49</v>
      </c>
      <c r="H208" s="4" t="s">
        <v>1939</v>
      </c>
      <c r="I208" s="4" t="s">
        <v>1959</v>
      </c>
      <c r="J208" s="4" t="s">
        <v>69</v>
      </c>
      <c r="K208" s="4" t="s">
        <v>2861</v>
      </c>
    </row>
    <row r="209" spans="1:11" x14ac:dyDescent="0.2">
      <c r="A209" s="4" t="s">
        <v>2862</v>
      </c>
      <c r="B209" s="4" t="s">
        <v>1639</v>
      </c>
      <c r="C209" s="4" t="s">
        <v>2863</v>
      </c>
      <c r="D209" s="4" t="s">
        <v>2864</v>
      </c>
      <c r="E209" s="4" t="s">
        <v>2865</v>
      </c>
      <c r="F209" s="4" t="s">
        <v>2043</v>
      </c>
      <c r="G209" s="4" t="s">
        <v>48</v>
      </c>
      <c r="H209" s="4" t="s">
        <v>1939</v>
      </c>
      <c r="I209" s="4" t="s">
        <v>1959</v>
      </c>
      <c r="J209" s="4" t="s">
        <v>70</v>
      </c>
      <c r="K209" s="4" t="s">
        <v>2866</v>
      </c>
    </row>
    <row r="210" spans="1:11" x14ac:dyDescent="0.2">
      <c r="A210" s="4" t="s">
        <v>2867</v>
      </c>
      <c r="B210" s="4" t="s">
        <v>1920</v>
      </c>
      <c r="C210" s="4" t="s">
        <v>2868</v>
      </c>
      <c r="D210" s="4" t="s">
        <v>2869</v>
      </c>
      <c r="E210" s="4" t="s">
        <v>2870</v>
      </c>
      <c r="F210" s="4" t="s">
        <v>2159</v>
      </c>
      <c r="G210" s="4" t="s">
        <v>48</v>
      </c>
      <c r="H210" s="4" t="s">
        <v>1939</v>
      </c>
      <c r="I210" s="4" t="s">
        <v>1959</v>
      </c>
      <c r="J210" s="4" t="s">
        <v>72</v>
      </c>
      <c r="K210" s="4" t="s">
        <v>2871</v>
      </c>
    </row>
    <row r="211" spans="1:11" x14ac:dyDescent="0.2">
      <c r="A211" s="4" t="s">
        <v>2872</v>
      </c>
      <c r="B211" s="4" t="s">
        <v>1709</v>
      </c>
      <c r="C211" s="4" t="s">
        <v>2873</v>
      </c>
      <c r="D211" s="4" t="s">
        <v>2874</v>
      </c>
      <c r="E211" s="4" t="s">
        <v>2875</v>
      </c>
      <c r="F211" s="4" t="s">
        <v>1952</v>
      </c>
      <c r="G211" s="4" t="s">
        <v>49</v>
      </c>
      <c r="H211" s="4" t="s">
        <v>1939</v>
      </c>
      <c r="I211" s="4" t="s">
        <v>1940</v>
      </c>
      <c r="J211" s="4" t="s">
        <v>70</v>
      </c>
      <c r="K211" s="4" t="s">
        <v>2876</v>
      </c>
    </row>
    <row r="212" spans="1:11" x14ac:dyDescent="0.2">
      <c r="A212" s="4" t="s">
        <v>2877</v>
      </c>
      <c r="B212" s="4" t="s">
        <v>1592</v>
      </c>
      <c r="C212" s="4" t="s">
        <v>2878</v>
      </c>
      <c r="D212" s="4" t="s">
        <v>2879</v>
      </c>
      <c r="E212" s="4" t="s">
        <v>2633</v>
      </c>
      <c r="F212" s="4" t="s">
        <v>2159</v>
      </c>
      <c r="G212" s="4" t="s">
        <v>48</v>
      </c>
      <c r="H212" s="4" t="s">
        <v>1939</v>
      </c>
      <c r="I212" s="4" t="s">
        <v>1997</v>
      </c>
      <c r="J212" s="4" t="s">
        <v>72</v>
      </c>
      <c r="K212" s="4" t="s">
        <v>2880</v>
      </c>
    </row>
    <row r="213" spans="1:11" x14ac:dyDescent="0.2">
      <c r="A213" s="4" t="s">
        <v>2881</v>
      </c>
      <c r="B213" s="4" t="s">
        <v>1539</v>
      </c>
      <c r="C213" s="4" t="s">
        <v>2516</v>
      </c>
      <c r="D213" s="4" t="s">
        <v>2882</v>
      </c>
      <c r="E213" s="4" t="s">
        <v>2883</v>
      </c>
      <c r="F213" s="4" t="s">
        <v>1938</v>
      </c>
      <c r="G213" s="4" t="s">
        <v>50</v>
      </c>
      <c r="H213" s="4" t="s">
        <v>1939</v>
      </c>
      <c r="I213" s="4" t="s">
        <v>1959</v>
      </c>
      <c r="J213" s="4" t="s">
        <v>70</v>
      </c>
      <c r="K213" s="4" t="s">
        <v>2884</v>
      </c>
    </row>
    <row r="214" spans="1:11" x14ac:dyDescent="0.2">
      <c r="A214" s="4" t="s">
        <v>2885</v>
      </c>
      <c r="B214" s="4" t="s">
        <v>1588</v>
      </c>
      <c r="C214" s="4" t="s">
        <v>2886</v>
      </c>
      <c r="D214" s="4" t="s">
        <v>2887</v>
      </c>
      <c r="E214" s="4" t="s">
        <v>2888</v>
      </c>
      <c r="F214" s="4" t="s">
        <v>1938</v>
      </c>
      <c r="G214" s="4" t="s">
        <v>48</v>
      </c>
      <c r="H214" s="4" t="s">
        <v>1939</v>
      </c>
      <c r="I214" s="4" t="s">
        <v>1997</v>
      </c>
      <c r="J214" s="4" t="s">
        <v>70</v>
      </c>
      <c r="K214" s="4" t="s">
        <v>2889</v>
      </c>
    </row>
    <row r="215" spans="1:11" x14ac:dyDescent="0.2">
      <c r="A215" s="4" t="s">
        <v>2890</v>
      </c>
      <c r="B215" s="4" t="s">
        <v>1790</v>
      </c>
      <c r="C215" s="4" t="s">
        <v>2891</v>
      </c>
      <c r="D215" s="4" t="s">
        <v>2892</v>
      </c>
      <c r="E215" s="4" t="s">
        <v>2893</v>
      </c>
      <c r="F215" s="4" t="s">
        <v>1952</v>
      </c>
      <c r="G215" s="4" t="s">
        <v>49</v>
      </c>
      <c r="H215" s="4" t="s">
        <v>1939</v>
      </c>
      <c r="I215" s="4" t="s">
        <v>1940</v>
      </c>
      <c r="J215" s="4" t="s">
        <v>69</v>
      </c>
      <c r="K215" s="4" t="s">
        <v>2894</v>
      </c>
    </row>
    <row r="216" spans="1:11" x14ac:dyDescent="0.2">
      <c r="A216" s="4" t="s">
        <v>2895</v>
      </c>
      <c r="B216" s="4" t="s">
        <v>1604</v>
      </c>
      <c r="C216" s="4" t="s">
        <v>2896</v>
      </c>
      <c r="D216" s="4" t="s">
        <v>2897</v>
      </c>
      <c r="E216" s="4" t="s">
        <v>2898</v>
      </c>
      <c r="F216" s="4" t="s">
        <v>2043</v>
      </c>
      <c r="G216" s="4" t="s">
        <v>48</v>
      </c>
      <c r="H216" s="4" t="s">
        <v>1939</v>
      </c>
      <c r="I216" s="4" t="s">
        <v>1997</v>
      </c>
      <c r="J216" s="4" t="s">
        <v>69</v>
      </c>
      <c r="K216" s="4" t="s">
        <v>2899</v>
      </c>
    </row>
    <row r="217" spans="1:11" x14ac:dyDescent="0.2">
      <c r="A217" s="4" t="s">
        <v>2900</v>
      </c>
      <c r="B217" s="4" t="s">
        <v>1588</v>
      </c>
      <c r="C217" s="4" t="s">
        <v>2886</v>
      </c>
      <c r="D217" s="4" t="s">
        <v>2901</v>
      </c>
      <c r="E217" s="4" t="s">
        <v>2902</v>
      </c>
      <c r="F217" s="4" t="s">
        <v>2128</v>
      </c>
      <c r="G217" s="4" t="s">
        <v>48</v>
      </c>
      <c r="H217" s="4" t="s">
        <v>1939</v>
      </c>
      <c r="I217" s="4" t="s">
        <v>1969</v>
      </c>
      <c r="J217" s="4" t="s">
        <v>70</v>
      </c>
      <c r="K217" s="4" t="s">
        <v>2346</v>
      </c>
    </row>
    <row r="218" spans="1:11" x14ac:dyDescent="0.2">
      <c r="A218" s="4" t="s">
        <v>2903</v>
      </c>
      <c r="B218" s="4" t="s">
        <v>1739</v>
      </c>
      <c r="C218" s="4" t="s">
        <v>2215</v>
      </c>
      <c r="D218" s="4" t="s">
        <v>2904</v>
      </c>
      <c r="E218" s="4" t="s">
        <v>2905</v>
      </c>
      <c r="F218" s="4" t="s">
        <v>2032</v>
      </c>
      <c r="G218" s="4" t="s">
        <v>48</v>
      </c>
      <c r="H218" s="4" t="s">
        <v>1939</v>
      </c>
      <c r="I218" s="4" t="s">
        <v>1997</v>
      </c>
      <c r="J218" s="4" t="s">
        <v>69</v>
      </c>
      <c r="K218" s="4" t="s">
        <v>2906</v>
      </c>
    </row>
    <row r="219" spans="1:11" x14ac:dyDescent="0.2">
      <c r="A219" s="4" t="s">
        <v>2907</v>
      </c>
      <c r="B219" s="4" t="s">
        <v>1720</v>
      </c>
      <c r="C219" s="4" t="s">
        <v>2397</v>
      </c>
      <c r="D219" s="4" t="s">
        <v>2908</v>
      </c>
      <c r="E219" s="4" t="s">
        <v>2909</v>
      </c>
      <c r="F219" s="4" t="s">
        <v>2108</v>
      </c>
      <c r="G219" s="4" t="s">
        <v>50</v>
      </c>
      <c r="H219" s="4" t="s">
        <v>2057</v>
      </c>
      <c r="I219" s="4" t="s">
        <v>1959</v>
      </c>
      <c r="J219" s="4" t="s">
        <v>70</v>
      </c>
      <c r="K219" s="4" t="s">
        <v>2752</v>
      </c>
    </row>
    <row r="220" spans="1:11" x14ac:dyDescent="0.2">
      <c r="A220" s="4" t="s">
        <v>2910</v>
      </c>
      <c r="B220" s="4" t="s">
        <v>1709</v>
      </c>
      <c r="C220" s="4" t="s">
        <v>2685</v>
      </c>
      <c r="D220" s="4" t="s">
        <v>2911</v>
      </c>
      <c r="E220" s="4" t="s">
        <v>2912</v>
      </c>
      <c r="F220" s="4" t="s">
        <v>1952</v>
      </c>
      <c r="G220" s="4" t="s">
        <v>48</v>
      </c>
      <c r="H220" s="4" t="s">
        <v>1939</v>
      </c>
      <c r="I220" s="4" t="s">
        <v>1997</v>
      </c>
      <c r="J220" s="4" t="s">
        <v>69</v>
      </c>
      <c r="K220" s="4" t="s">
        <v>2913</v>
      </c>
    </row>
    <row r="221" spans="1:11" x14ac:dyDescent="0.2">
      <c r="A221" s="4" t="s">
        <v>2914</v>
      </c>
      <c r="B221" s="4" t="s">
        <v>1783</v>
      </c>
      <c r="C221" s="4" t="s">
        <v>2029</v>
      </c>
      <c r="D221" s="4" t="s">
        <v>2915</v>
      </c>
      <c r="E221" s="4" t="s">
        <v>2112</v>
      </c>
      <c r="F221" s="4" t="s">
        <v>2367</v>
      </c>
      <c r="G221" s="4" t="s">
        <v>48</v>
      </c>
      <c r="H221" s="4" t="s">
        <v>1939</v>
      </c>
      <c r="I221" s="4" t="s">
        <v>1940</v>
      </c>
      <c r="J221" s="4" t="s">
        <v>72</v>
      </c>
      <c r="K221" s="4" t="s">
        <v>2507</v>
      </c>
    </row>
    <row r="222" spans="1:11" x14ac:dyDescent="0.2">
      <c r="A222" s="4" t="s">
        <v>2916</v>
      </c>
      <c r="B222" s="4" t="s">
        <v>1716</v>
      </c>
      <c r="C222" s="4" t="s">
        <v>2819</v>
      </c>
      <c r="D222" s="4" t="s">
        <v>2917</v>
      </c>
      <c r="E222" s="4" t="s">
        <v>2580</v>
      </c>
      <c r="F222" s="4" t="s">
        <v>2043</v>
      </c>
      <c r="G222" s="4" t="s">
        <v>48</v>
      </c>
      <c r="H222" s="4" t="s">
        <v>1939</v>
      </c>
      <c r="I222" s="4" t="s">
        <v>1997</v>
      </c>
      <c r="J222" s="4" t="s">
        <v>70</v>
      </c>
      <c r="K222" s="4" t="s">
        <v>2918</v>
      </c>
    </row>
    <row r="223" spans="1:11" x14ac:dyDescent="0.2">
      <c r="A223" s="4" t="s">
        <v>2919</v>
      </c>
      <c r="B223" s="4" t="s">
        <v>1787</v>
      </c>
      <c r="C223" s="4" t="s">
        <v>2151</v>
      </c>
      <c r="D223" s="4" t="s">
        <v>2920</v>
      </c>
      <c r="E223" s="4" t="s">
        <v>2921</v>
      </c>
      <c r="F223" s="4" t="s">
        <v>2128</v>
      </c>
      <c r="G223" s="4" t="s">
        <v>49</v>
      </c>
      <c r="H223" s="4" t="s">
        <v>1939</v>
      </c>
      <c r="I223" s="4" t="s">
        <v>1969</v>
      </c>
      <c r="J223" s="4" t="s">
        <v>72</v>
      </c>
      <c r="K223" s="4" t="s">
        <v>2922</v>
      </c>
    </row>
    <row r="224" spans="1:11" x14ac:dyDescent="0.2">
      <c r="A224" s="4" t="s">
        <v>2923</v>
      </c>
      <c r="B224" s="4" t="s">
        <v>1764</v>
      </c>
      <c r="C224" s="4" t="s">
        <v>2046</v>
      </c>
      <c r="D224" s="4" t="s">
        <v>2924</v>
      </c>
      <c r="E224" s="4" t="s">
        <v>2925</v>
      </c>
      <c r="F224" s="4" t="s">
        <v>2002</v>
      </c>
      <c r="G224" s="4" t="s">
        <v>50</v>
      </c>
      <c r="H224" s="4" t="s">
        <v>2057</v>
      </c>
      <c r="I224" s="4" t="s">
        <v>1969</v>
      </c>
      <c r="J224" s="4" t="s">
        <v>72</v>
      </c>
      <c r="K224" s="4" t="s">
        <v>2926</v>
      </c>
    </row>
    <row r="225" spans="1:11" x14ac:dyDescent="0.2">
      <c r="A225" s="4" t="s">
        <v>2927</v>
      </c>
      <c r="B225" s="4" t="s">
        <v>1511</v>
      </c>
      <c r="C225" s="4" t="s">
        <v>2928</v>
      </c>
      <c r="D225" s="4" t="s">
        <v>2929</v>
      </c>
      <c r="E225" s="4" t="s">
        <v>2704</v>
      </c>
      <c r="F225" s="4" t="s">
        <v>1964</v>
      </c>
      <c r="G225" s="4" t="s">
        <v>49</v>
      </c>
      <c r="H225" s="4" t="s">
        <v>1939</v>
      </c>
      <c r="I225" s="4" t="s">
        <v>1997</v>
      </c>
      <c r="J225" s="4" t="s">
        <v>70</v>
      </c>
      <c r="K225" s="4" t="s">
        <v>2930</v>
      </c>
    </row>
    <row r="226" spans="1:11" x14ac:dyDescent="0.2">
      <c r="A226" s="4" t="s">
        <v>2931</v>
      </c>
      <c r="B226" s="4" t="s">
        <v>1635</v>
      </c>
      <c r="C226" s="4" t="s">
        <v>2055</v>
      </c>
      <c r="D226" s="4" t="s">
        <v>2932</v>
      </c>
      <c r="E226" s="4" t="s">
        <v>2933</v>
      </c>
      <c r="F226" s="4" t="s">
        <v>2018</v>
      </c>
      <c r="G226" s="4" t="s">
        <v>50</v>
      </c>
      <c r="H226" s="4" t="s">
        <v>2057</v>
      </c>
      <c r="I226" s="4" t="s">
        <v>1997</v>
      </c>
      <c r="J226" s="4" t="s">
        <v>72</v>
      </c>
      <c r="K226" s="4" t="s">
        <v>2178</v>
      </c>
    </row>
    <row r="227" spans="1:11" x14ac:dyDescent="0.2">
      <c r="A227" s="4" t="s">
        <v>2934</v>
      </c>
      <c r="B227" s="4" t="s">
        <v>1735</v>
      </c>
      <c r="C227" s="4" t="s">
        <v>2935</v>
      </c>
      <c r="D227" s="4" t="s">
        <v>2936</v>
      </c>
      <c r="E227" s="4" t="s">
        <v>2937</v>
      </c>
      <c r="F227" s="4" t="s">
        <v>2032</v>
      </c>
      <c r="G227" s="4" t="s">
        <v>48</v>
      </c>
      <c r="H227" s="4" t="s">
        <v>1939</v>
      </c>
      <c r="I227" s="4" t="s">
        <v>1997</v>
      </c>
      <c r="J227" s="4" t="s">
        <v>69</v>
      </c>
      <c r="K227" s="4" t="s">
        <v>2778</v>
      </c>
    </row>
    <row r="228" spans="1:11" x14ac:dyDescent="0.2">
      <c r="A228" s="4" t="s">
        <v>2938</v>
      </c>
      <c r="B228" s="4" t="s">
        <v>1840</v>
      </c>
      <c r="C228" s="4" t="s">
        <v>2939</v>
      </c>
      <c r="D228" s="4" t="s">
        <v>2940</v>
      </c>
      <c r="E228" s="4" t="s">
        <v>2941</v>
      </c>
      <c r="F228" s="4" t="s">
        <v>1964</v>
      </c>
      <c r="G228" s="4" t="s">
        <v>48</v>
      </c>
      <c r="H228" s="4" t="s">
        <v>1939</v>
      </c>
      <c r="I228" s="4" t="s">
        <v>1997</v>
      </c>
      <c r="J228" s="4" t="s">
        <v>70</v>
      </c>
      <c r="K228" s="4" t="s">
        <v>2760</v>
      </c>
    </row>
    <row r="229" spans="1:11" x14ac:dyDescent="0.2">
      <c r="A229" s="4" t="s">
        <v>2942</v>
      </c>
      <c r="B229" s="4" t="s">
        <v>1828</v>
      </c>
      <c r="C229" s="4" t="s">
        <v>2943</v>
      </c>
      <c r="D229" s="4" t="s">
        <v>2944</v>
      </c>
      <c r="E229" s="4" t="s">
        <v>2945</v>
      </c>
      <c r="F229" s="4" t="s">
        <v>1958</v>
      </c>
      <c r="G229" s="4" t="s">
        <v>49</v>
      </c>
      <c r="H229" s="4" t="s">
        <v>1939</v>
      </c>
      <c r="I229" s="4" t="s">
        <v>1969</v>
      </c>
      <c r="J229" s="4" t="s">
        <v>69</v>
      </c>
      <c r="K229" s="4" t="s">
        <v>2165</v>
      </c>
    </row>
    <row r="230" spans="1:11" x14ac:dyDescent="0.2">
      <c r="A230" s="4" t="s">
        <v>2946</v>
      </c>
      <c r="B230" s="4" t="s">
        <v>1698</v>
      </c>
      <c r="C230" s="4" t="s">
        <v>2947</v>
      </c>
      <c r="D230" s="4" t="s">
        <v>2948</v>
      </c>
      <c r="E230" s="4" t="s">
        <v>1777</v>
      </c>
      <c r="F230" s="4" t="s">
        <v>2108</v>
      </c>
      <c r="G230" s="4" t="s">
        <v>49</v>
      </c>
      <c r="H230" s="4" t="s">
        <v>1939</v>
      </c>
      <c r="I230" s="4" t="s">
        <v>1959</v>
      </c>
      <c r="J230" s="4" t="s">
        <v>70</v>
      </c>
      <c r="K230" s="4" t="s">
        <v>2082</v>
      </c>
    </row>
    <row r="231" spans="1:11" x14ac:dyDescent="0.2">
      <c r="A231" s="4" t="s">
        <v>2949</v>
      </c>
      <c r="B231" s="4" t="s">
        <v>1525</v>
      </c>
      <c r="C231" s="4" t="s">
        <v>2950</v>
      </c>
      <c r="D231" s="4" t="s">
        <v>2951</v>
      </c>
      <c r="E231" s="4" t="s">
        <v>2952</v>
      </c>
      <c r="F231" s="4" t="s">
        <v>2002</v>
      </c>
      <c r="G231" s="4" t="s">
        <v>49</v>
      </c>
      <c r="H231" s="4" t="s">
        <v>1939</v>
      </c>
      <c r="I231" s="4" t="s">
        <v>1997</v>
      </c>
      <c r="J231" s="4" t="s">
        <v>70</v>
      </c>
      <c r="K231" s="4" t="s">
        <v>2134</v>
      </c>
    </row>
    <row r="232" spans="1:11" x14ac:dyDescent="0.2">
      <c r="A232" s="4" t="s">
        <v>2953</v>
      </c>
      <c r="B232" s="4" t="s">
        <v>1698</v>
      </c>
      <c r="C232" s="4" t="s">
        <v>2954</v>
      </c>
      <c r="D232" s="4" t="s">
        <v>2955</v>
      </c>
      <c r="E232" s="4" t="s">
        <v>2956</v>
      </c>
      <c r="F232" s="4" t="s">
        <v>2108</v>
      </c>
      <c r="G232" s="4" t="s">
        <v>48</v>
      </c>
      <c r="H232" s="4" t="s">
        <v>1939</v>
      </c>
      <c r="I232" s="4" t="s">
        <v>1969</v>
      </c>
      <c r="J232" s="4" t="s">
        <v>70</v>
      </c>
      <c r="K232" s="4" t="s">
        <v>2292</v>
      </c>
    </row>
    <row r="233" spans="1:11" x14ac:dyDescent="0.2">
      <c r="A233" s="4" t="s">
        <v>2957</v>
      </c>
      <c r="B233" s="4" t="s">
        <v>1611</v>
      </c>
      <c r="C233" s="4" t="s">
        <v>2958</v>
      </c>
      <c r="D233" s="4" t="s">
        <v>2959</v>
      </c>
      <c r="E233" s="4" t="s">
        <v>2960</v>
      </c>
      <c r="F233" s="4" t="s">
        <v>2367</v>
      </c>
      <c r="G233" s="4" t="s">
        <v>49</v>
      </c>
      <c r="H233" s="4" t="s">
        <v>1939</v>
      </c>
      <c r="I233" s="4" t="s">
        <v>1940</v>
      </c>
      <c r="J233" s="4" t="s">
        <v>70</v>
      </c>
      <c r="K233" s="4" t="s">
        <v>2068</v>
      </c>
    </row>
    <row r="234" spans="1:11" x14ac:dyDescent="0.2">
      <c r="A234" s="4" t="s">
        <v>2961</v>
      </c>
      <c r="B234" s="4" t="s">
        <v>1691</v>
      </c>
      <c r="C234" s="4" t="s">
        <v>2962</v>
      </c>
      <c r="D234" s="4" t="s">
        <v>2963</v>
      </c>
      <c r="E234" s="4" t="s">
        <v>2964</v>
      </c>
      <c r="F234" s="4" t="s">
        <v>1946</v>
      </c>
      <c r="G234" s="4" t="s">
        <v>48</v>
      </c>
      <c r="H234" s="4" t="s">
        <v>1939</v>
      </c>
      <c r="I234" s="4" t="s">
        <v>1969</v>
      </c>
      <c r="J234" s="4" t="s">
        <v>69</v>
      </c>
      <c r="K234" s="4" t="s">
        <v>2336</v>
      </c>
    </row>
    <row r="235" spans="1:11" x14ac:dyDescent="0.2">
      <c r="A235" s="4" t="s">
        <v>2965</v>
      </c>
      <c r="B235" s="4" t="s">
        <v>1916</v>
      </c>
      <c r="C235" s="4" t="s">
        <v>2966</v>
      </c>
      <c r="D235" s="4" t="s">
        <v>2967</v>
      </c>
      <c r="E235" s="4" t="s">
        <v>2968</v>
      </c>
      <c r="F235" s="4" t="s">
        <v>2002</v>
      </c>
      <c r="G235" s="4" t="s">
        <v>48</v>
      </c>
      <c r="H235" s="4" t="s">
        <v>1939</v>
      </c>
      <c r="I235" s="4" t="s">
        <v>1940</v>
      </c>
      <c r="J235" s="4" t="s">
        <v>70</v>
      </c>
      <c r="K235" s="4" t="s">
        <v>2969</v>
      </c>
    </row>
    <row r="236" spans="1:11" x14ac:dyDescent="0.2">
      <c r="A236" s="4" t="s">
        <v>2970</v>
      </c>
      <c r="B236" s="4" t="s">
        <v>1659</v>
      </c>
      <c r="C236" s="4" t="s">
        <v>2646</v>
      </c>
      <c r="D236" s="4" t="s">
        <v>2971</v>
      </c>
      <c r="E236" s="4" t="s">
        <v>2626</v>
      </c>
      <c r="F236" s="4" t="s">
        <v>2043</v>
      </c>
      <c r="G236" s="4" t="s">
        <v>48</v>
      </c>
      <c r="H236" s="4" t="s">
        <v>1939</v>
      </c>
      <c r="I236" s="4" t="s">
        <v>1940</v>
      </c>
      <c r="J236" s="4" t="s">
        <v>69</v>
      </c>
      <c r="K236" s="4" t="s">
        <v>2972</v>
      </c>
    </row>
    <row r="237" spans="1:11" x14ac:dyDescent="0.2">
      <c r="A237" s="4" t="s">
        <v>2973</v>
      </c>
      <c r="B237" s="4" t="s">
        <v>1576</v>
      </c>
      <c r="C237" s="4" t="s">
        <v>2974</v>
      </c>
      <c r="D237" s="4" t="s">
        <v>2975</v>
      </c>
      <c r="E237" s="4" t="s">
        <v>2976</v>
      </c>
      <c r="F237" s="4" t="s">
        <v>2102</v>
      </c>
      <c r="G237" s="4" t="s">
        <v>48</v>
      </c>
      <c r="H237" s="4" t="s">
        <v>1939</v>
      </c>
      <c r="I237" s="4" t="s">
        <v>1959</v>
      </c>
      <c r="J237" s="4" t="s">
        <v>72</v>
      </c>
      <c r="K237" s="4" t="s">
        <v>2977</v>
      </c>
    </row>
    <row r="238" spans="1:11" x14ac:dyDescent="0.2">
      <c r="A238" s="4" t="s">
        <v>2978</v>
      </c>
      <c r="B238" s="4" t="s">
        <v>1691</v>
      </c>
      <c r="C238" s="4" t="s">
        <v>2962</v>
      </c>
      <c r="D238" s="4" t="s">
        <v>2979</v>
      </c>
      <c r="E238" s="4" t="s">
        <v>2980</v>
      </c>
      <c r="F238" s="4" t="s">
        <v>2018</v>
      </c>
      <c r="G238" s="4" t="s">
        <v>48</v>
      </c>
      <c r="H238" s="4" t="s">
        <v>1939</v>
      </c>
      <c r="I238" s="4" t="s">
        <v>1969</v>
      </c>
      <c r="J238" s="4" t="s">
        <v>70</v>
      </c>
      <c r="K238" s="4" t="s">
        <v>2981</v>
      </c>
    </row>
    <row r="239" spans="1:11" x14ac:dyDescent="0.2">
      <c r="A239" s="4" t="s">
        <v>2982</v>
      </c>
      <c r="B239" s="4" t="s">
        <v>1746</v>
      </c>
      <c r="C239" s="4" t="s">
        <v>2983</v>
      </c>
      <c r="D239" s="4" t="s">
        <v>2984</v>
      </c>
      <c r="E239" s="4" t="s">
        <v>2985</v>
      </c>
      <c r="F239" s="4" t="s">
        <v>1946</v>
      </c>
      <c r="G239" s="4" t="s">
        <v>49</v>
      </c>
      <c r="H239" s="4" t="s">
        <v>1939</v>
      </c>
      <c r="I239" s="4" t="s">
        <v>1959</v>
      </c>
      <c r="J239" s="4" t="s">
        <v>69</v>
      </c>
      <c r="K239" s="4" t="s">
        <v>2986</v>
      </c>
    </row>
    <row r="240" spans="1:11" x14ac:dyDescent="0.2">
      <c r="A240" s="4" t="s">
        <v>2987</v>
      </c>
      <c r="B240" s="4" t="s">
        <v>1639</v>
      </c>
      <c r="C240" s="4" t="s">
        <v>2005</v>
      </c>
      <c r="D240" s="4" t="s">
        <v>2988</v>
      </c>
      <c r="E240" s="4" t="s">
        <v>2989</v>
      </c>
      <c r="F240" s="4" t="s">
        <v>2102</v>
      </c>
      <c r="G240" s="4" t="s">
        <v>50</v>
      </c>
      <c r="H240" s="4" t="s">
        <v>2057</v>
      </c>
      <c r="I240" s="4" t="s">
        <v>1940</v>
      </c>
      <c r="J240" s="4" t="s">
        <v>71</v>
      </c>
      <c r="K240" s="4" t="s">
        <v>2990</v>
      </c>
    </row>
    <row r="241" spans="1:11" x14ac:dyDescent="0.2">
      <c r="A241" s="4" t="s">
        <v>2991</v>
      </c>
      <c r="B241" s="4" t="s">
        <v>1852</v>
      </c>
      <c r="C241" s="4" t="s">
        <v>2992</v>
      </c>
      <c r="D241" s="4" t="s">
        <v>2993</v>
      </c>
      <c r="E241" s="4" t="s">
        <v>2994</v>
      </c>
      <c r="F241" s="4" t="s">
        <v>2102</v>
      </c>
      <c r="G241" s="4" t="s">
        <v>49</v>
      </c>
      <c r="H241" s="4" t="s">
        <v>1939</v>
      </c>
      <c r="I241" s="4" t="s">
        <v>1940</v>
      </c>
      <c r="J241" s="4" t="s">
        <v>69</v>
      </c>
      <c r="K241" s="4" t="s">
        <v>2995</v>
      </c>
    </row>
    <row r="242" spans="1:11" x14ac:dyDescent="0.2">
      <c r="A242" s="4" t="s">
        <v>2996</v>
      </c>
      <c r="B242" s="4" t="s">
        <v>1772</v>
      </c>
      <c r="C242" s="4" t="s">
        <v>2035</v>
      </c>
      <c r="D242" s="4" t="s">
        <v>2997</v>
      </c>
      <c r="E242" s="4" t="s">
        <v>2998</v>
      </c>
      <c r="F242" s="4" t="s">
        <v>2102</v>
      </c>
      <c r="G242" s="4" t="s">
        <v>48</v>
      </c>
      <c r="H242" s="4" t="s">
        <v>1939</v>
      </c>
      <c r="I242" s="4" t="s">
        <v>1940</v>
      </c>
      <c r="J242" s="4" t="s">
        <v>69</v>
      </c>
      <c r="K242" s="4" t="s">
        <v>2999</v>
      </c>
    </row>
    <row r="243" spans="1:11" x14ac:dyDescent="0.2">
      <c r="A243" s="4" t="s">
        <v>3000</v>
      </c>
      <c r="B243" s="4" t="s">
        <v>1852</v>
      </c>
      <c r="C243" s="4" t="s">
        <v>3001</v>
      </c>
      <c r="D243" s="4" t="s">
        <v>3002</v>
      </c>
      <c r="E243" s="4" t="s">
        <v>2372</v>
      </c>
      <c r="F243" s="4" t="s">
        <v>2002</v>
      </c>
      <c r="G243" s="4" t="s">
        <v>49</v>
      </c>
      <c r="H243" s="4" t="s">
        <v>1939</v>
      </c>
      <c r="I243" s="4" t="s">
        <v>1940</v>
      </c>
      <c r="J243" s="4" t="s">
        <v>70</v>
      </c>
      <c r="K243" s="4" t="s">
        <v>2788</v>
      </c>
    </row>
    <row r="244" spans="1:11" x14ac:dyDescent="0.2">
      <c r="A244" s="4" t="s">
        <v>3003</v>
      </c>
      <c r="B244" s="4" t="s">
        <v>1673</v>
      </c>
      <c r="C244" s="4" t="s">
        <v>2670</v>
      </c>
      <c r="D244" s="4" t="s">
        <v>3004</v>
      </c>
      <c r="E244" s="4" t="s">
        <v>3005</v>
      </c>
      <c r="F244" s="4" t="s">
        <v>2002</v>
      </c>
      <c r="G244" s="4" t="s">
        <v>48</v>
      </c>
      <c r="H244" s="4" t="s">
        <v>1939</v>
      </c>
      <c r="I244" s="4" t="s">
        <v>1969</v>
      </c>
      <c r="J244" s="4" t="s">
        <v>69</v>
      </c>
      <c r="K244" s="4" t="s">
        <v>2038</v>
      </c>
    </row>
    <row r="245" spans="1:11" x14ac:dyDescent="0.2">
      <c r="A245" s="4" t="s">
        <v>3006</v>
      </c>
      <c r="B245" s="4" t="s">
        <v>1681</v>
      </c>
      <c r="C245" s="4" t="s">
        <v>2120</v>
      </c>
      <c r="D245" s="4" t="s">
        <v>3007</v>
      </c>
      <c r="E245" s="4" t="s">
        <v>3008</v>
      </c>
      <c r="F245" s="4" t="s">
        <v>2108</v>
      </c>
      <c r="G245" s="4" t="s">
        <v>50</v>
      </c>
      <c r="H245" s="4" t="s">
        <v>2057</v>
      </c>
      <c r="I245" s="4" t="s">
        <v>1940</v>
      </c>
      <c r="J245" s="4" t="s">
        <v>72</v>
      </c>
      <c r="K245" s="4" t="s">
        <v>3009</v>
      </c>
    </row>
    <row r="246" spans="1:11" x14ac:dyDescent="0.2">
      <c r="A246" s="4" t="s">
        <v>3010</v>
      </c>
      <c r="B246" s="4" t="s">
        <v>1816</v>
      </c>
      <c r="C246" s="4" t="s">
        <v>3011</v>
      </c>
      <c r="D246" s="4" t="s">
        <v>3012</v>
      </c>
      <c r="E246" s="4" t="s">
        <v>3013</v>
      </c>
      <c r="F246" s="4" t="s">
        <v>1964</v>
      </c>
      <c r="G246" s="4" t="s">
        <v>48</v>
      </c>
      <c r="H246" s="4" t="s">
        <v>1939</v>
      </c>
      <c r="I246" s="4" t="s">
        <v>1969</v>
      </c>
      <c r="J246" s="4" t="s">
        <v>70</v>
      </c>
      <c r="K246" s="4" t="s">
        <v>3014</v>
      </c>
    </row>
    <row r="247" spans="1:11" x14ac:dyDescent="0.2">
      <c r="A247" s="4" t="s">
        <v>3015</v>
      </c>
      <c r="B247" s="4" t="s">
        <v>1628</v>
      </c>
      <c r="C247" s="4" t="s">
        <v>2262</v>
      </c>
      <c r="D247" s="4" t="s">
        <v>3016</v>
      </c>
      <c r="E247" s="4" t="s">
        <v>3017</v>
      </c>
      <c r="F247" s="4" t="s">
        <v>1958</v>
      </c>
      <c r="G247" s="4" t="s">
        <v>49</v>
      </c>
      <c r="H247" s="4" t="s">
        <v>1939</v>
      </c>
      <c r="I247" s="4" t="s">
        <v>1997</v>
      </c>
      <c r="J247" s="4" t="s">
        <v>72</v>
      </c>
      <c r="K247" s="4" t="s">
        <v>3018</v>
      </c>
    </row>
    <row r="248" spans="1:11" x14ac:dyDescent="0.2">
      <c r="A248" s="4" t="s">
        <v>3019</v>
      </c>
      <c r="B248" s="4" t="s">
        <v>1639</v>
      </c>
      <c r="C248" s="4" t="s">
        <v>2863</v>
      </c>
      <c r="D248" s="4" t="s">
        <v>3020</v>
      </c>
      <c r="E248" s="4" t="s">
        <v>3021</v>
      </c>
      <c r="F248" s="4" t="s">
        <v>2217</v>
      </c>
      <c r="G248" s="4" t="s">
        <v>49</v>
      </c>
      <c r="H248" s="4" t="s">
        <v>1939</v>
      </c>
      <c r="I248" s="4" t="s">
        <v>1997</v>
      </c>
      <c r="J248" s="4" t="s">
        <v>72</v>
      </c>
      <c r="K248" s="4" t="s">
        <v>3022</v>
      </c>
    </row>
    <row r="249" spans="1:11" x14ac:dyDescent="0.2">
      <c r="A249" s="4" t="s">
        <v>3023</v>
      </c>
      <c r="B249" s="4" t="s">
        <v>1883</v>
      </c>
      <c r="C249" s="4" t="s">
        <v>2125</v>
      </c>
      <c r="D249" s="4" t="s">
        <v>3024</v>
      </c>
      <c r="E249" s="4" t="s">
        <v>1763</v>
      </c>
      <c r="F249" s="4" t="s">
        <v>1975</v>
      </c>
      <c r="G249" s="4" t="s">
        <v>49</v>
      </c>
      <c r="H249" s="4" t="s">
        <v>1939</v>
      </c>
      <c r="I249" s="4" t="s">
        <v>1959</v>
      </c>
      <c r="J249" s="4" t="s">
        <v>70</v>
      </c>
      <c r="K249" s="4" t="s">
        <v>2109</v>
      </c>
    </row>
    <row r="250" spans="1:11" x14ac:dyDescent="0.2">
      <c r="A250" s="4" t="s">
        <v>3025</v>
      </c>
      <c r="B250" s="4" t="s">
        <v>1713</v>
      </c>
      <c r="C250" s="4" t="s">
        <v>2555</v>
      </c>
      <c r="D250" s="4" t="s">
        <v>3026</v>
      </c>
      <c r="E250" s="4" t="s">
        <v>3027</v>
      </c>
      <c r="F250" s="4" t="s">
        <v>1964</v>
      </c>
      <c r="G250" s="4" t="s">
        <v>48</v>
      </c>
      <c r="H250" s="4" t="s">
        <v>1939</v>
      </c>
      <c r="I250" s="4" t="s">
        <v>1997</v>
      </c>
      <c r="J250" s="4" t="s">
        <v>72</v>
      </c>
      <c r="K250" s="4" t="s">
        <v>2243</v>
      </c>
    </row>
    <row r="251" spans="1:11" x14ac:dyDescent="0.2">
      <c r="A251" s="4" t="s">
        <v>3028</v>
      </c>
      <c r="B251" s="4" t="s">
        <v>1632</v>
      </c>
      <c r="C251" s="4" t="s">
        <v>3029</v>
      </c>
      <c r="D251" s="4" t="s">
        <v>3030</v>
      </c>
      <c r="E251" s="4" t="s">
        <v>2472</v>
      </c>
      <c r="F251" s="4" t="s">
        <v>2217</v>
      </c>
      <c r="G251" s="4" t="s">
        <v>48</v>
      </c>
      <c r="H251" s="4" t="s">
        <v>1939</v>
      </c>
      <c r="I251" s="4" t="s">
        <v>1959</v>
      </c>
      <c r="J251" s="4" t="s">
        <v>69</v>
      </c>
      <c r="K251" s="4" t="s">
        <v>3031</v>
      </c>
    </row>
    <row r="252" spans="1:11" x14ac:dyDescent="0.2">
      <c r="A252" s="4" t="s">
        <v>3032</v>
      </c>
      <c r="B252" s="4" t="s">
        <v>1491</v>
      </c>
      <c r="C252" s="4" t="s">
        <v>3033</v>
      </c>
      <c r="D252" s="4" t="s">
        <v>3034</v>
      </c>
      <c r="E252" s="4" t="s">
        <v>2728</v>
      </c>
      <c r="F252" s="4" t="s">
        <v>2198</v>
      </c>
      <c r="G252" s="4" t="s">
        <v>50</v>
      </c>
      <c r="H252" s="4" t="s">
        <v>2057</v>
      </c>
      <c r="I252" s="4" t="s">
        <v>1997</v>
      </c>
      <c r="J252" s="4" t="s">
        <v>71</v>
      </c>
      <c r="K252" s="4" t="s">
        <v>2847</v>
      </c>
    </row>
    <row r="253" spans="1:11" x14ac:dyDescent="0.2">
      <c r="A253" s="4" t="s">
        <v>3035</v>
      </c>
      <c r="B253" s="4" t="s">
        <v>1890</v>
      </c>
      <c r="C253" s="4" t="s">
        <v>3036</v>
      </c>
      <c r="D253" s="4" t="s">
        <v>3037</v>
      </c>
      <c r="E253" s="4" t="s">
        <v>3038</v>
      </c>
      <c r="F253" s="4" t="s">
        <v>2159</v>
      </c>
      <c r="G253" s="4" t="s">
        <v>49</v>
      </c>
      <c r="H253" s="4" t="s">
        <v>1939</v>
      </c>
      <c r="I253" s="4" t="s">
        <v>1969</v>
      </c>
      <c r="J253" s="4" t="s">
        <v>70</v>
      </c>
      <c r="K253" s="4" t="s">
        <v>2675</v>
      </c>
    </row>
    <row r="254" spans="1:11" x14ac:dyDescent="0.2">
      <c r="A254" s="4" t="s">
        <v>3039</v>
      </c>
      <c r="B254" s="4" t="s">
        <v>1557</v>
      </c>
      <c r="C254" s="4" t="s">
        <v>3040</v>
      </c>
      <c r="D254" s="4" t="s">
        <v>3041</v>
      </c>
      <c r="E254" s="4" t="s">
        <v>3042</v>
      </c>
      <c r="F254" s="4" t="s">
        <v>2198</v>
      </c>
      <c r="G254" s="4" t="s">
        <v>49</v>
      </c>
      <c r="H254" s="4" t="s">
        <v>1939</v>
      </c>
      <c r="I254" s="4" t="s">
        <v>1940</v>
      </c>
      <c r="J254" s="4" t="s">
        <v>69</v>
      </c>
      <c r="K254" s="4" t="s">
        <v>3043</v>
      </c>
    </row>
    <row r="255" spans="1:11" x14ac:dyDescent="0.2">
      <c r="A255" s="4" t="s">
        <v>3044</v>
      </c>
      <c r="B255" s="4" t="s">
        <v>1576</v>
      </c>
      <c r="C255" s="4" t="s">
        <v>3045</v>
      </c>
      <c r="D255" s="4" t="s">
        <v>3046</v>
      </c>
      <c r="E255" s="4" t="s">
        <v>1915</v>
      </c>
      <c r="F255" s="4" t="s">
        <v>1981</v>
      </c>
      <c r="G255" s="4" t="s">
        <v>49</v>
      </c>
      <c r="H255" s="4" t="s">
        <v>1939</v>
      </c>
      <c r="I255" s="4" t="s">
        <v>1940</v>
      </c>
      <c r="J255" s="4" t="s">
        <v>72</v>
      </c>
      <c r="K255" s="4" t="s">
        <v>2038</v>
      </c>
    </row>
    <row r="256" spans="1:11" x14ac:dyDescent="0.2">
      <c r="A256" s="4" t="s">
        <v>3047</v>
      </c>
      <c r="B256" s="4" t="s">
        <v>1505</v>
      </c>
      <c r="C256" s="4" t="s">
        <v>2312</v>
      </c>
      <c r="D256" s="4" t="s">
        <v>3048</v>
      </c>
      <c r="E256" s="4" t="s">
        <v>3049</v>
      </c>
      <c r="F256" s="4" t="s">
        <v>2032</v>
      </c>
      <c r="G256" s="4" t="s">
        <v>48</v>
      </c>
      <c r="H256" s="4" t="s">
        <v>1939</v>
      </c>
      <c r="I256" s="4" t="s">
        <v>1959</v>
      </c>
      <c r="J256" s="4" t="s">
        <v>72</v>
      </c>
      <c r="K256" s="4" t="s">
        <v>3050</v>
      </c>
    </row>
    <row r="257" spans="1:11" x14ac:dyDescent="0.2">
      <c r="A257" s="4" t="s">
        <v>3051</v>
      </c>
      <c r="B257" s="4" t="s">
        <v>1798</v>
      </c>
      <c r="C257" s="4" t="s">
        <v>2074</v>
      </c>
      <c r="D257" s="4" t="s">
        <v>3052</v>
      </c>
      <c r="E257" s="4" t="s">
        <v>3053</v>
      </c>
      <c r="F257" s="4" t="s">
        <v>2032</v>
      </c>
      <c r="G257" s="4" t="s">
        <v>48</v>
      </c>
      <c r="H257" s="4" t="s">
        <v>1939</v>
      </c>
      <c r="I257" s="4" t="s">
        <v>1940</v>
      </c>
      <c r="J257" s="4" t="s">
        <v>69</v>
      </c>
      <c r="K257" s="4" t="s">
        <v>3054</v>
      </c>
    </row>
    <row r="258" spans="1:11" x14ac:dyDescent="0.2">
      <c r="A258" s="4" t="s">
        <v>3055</v>
      </c>
      <c r="B258" s="4" t="s">
        <v>1764</v>
      </c>
      <c r="C258" s="4" t="s">
        <v>2046</v>
      </c>
      <c r="D258" s="4" t="s">
        <v>3056</v>
      </c>
      <c r="E258" s="4" t="s">
        <v>3057</v>
      </c>
      <c r="F258" s="4" t="s">
        <v>2198</v>
      </c>
      <c r="G258" s="4" t="s">
        <v>48</v>
      </c>
      <c r="H258" s="4" t="s">
        <v>1939</v>
      </c>
      <c r="I258" s="4" t="s">
        <v>1940</v>
      </c>
      <c r="J258" s="4" t="s">
        <v>69</v>
      </c>
      <c r="K258" s="4" t="s">
        <v>3058</v>
      </c>
    </row>
    <row r="259" spans="1:11" x14ac:dyDescent="0.2">
      <c r="A259" s="4" t="s">
        <v>3059</v>
      </c>
      <c r="B259" s="4" t="s">
        <v>1639</v>
      </c>
      <c r="C259" s="4" t="s">
        <v>2559</v>
      </c>
      <c r="D259" s="4" t="s">
        <v>3060</v>
      </c>
      <c r="E259" s="4" t="s">
        <v>3061</v>
      </c>
      <c r="F259" s="4" t="s">
        <v>1975</v>
      </c>
      <c r="G259" s="4" t="s">
        <v>48</v>
      </c>
      <c r="H259" s="4" t="s">
        <v>1939</v>
      </c>
      <c r="I259" s="4" t="s">
        <v>1969</v>
      </c>
      <c r="J259" s="4" t="s">
        <v>72</v>
      </c>
      <c r="K259" s="4" t="s">
        <v>3062</v>
      </c>
    </row>
    <row r="260" spans="1:11" x14ac:dyDescent="0.2">
      <c r="A260" s="4" t="s">
        <v>3063</v>
      </c>
      <c r="B260" s="4" t="s">
        <v>1572</v>
      </c>
      <c r="C260" s="4" t="s">
        <v>2387</v>
      </c>
      <c r="D260" s="4" t="s">
        <v>3064</v>
      </c>
      <c r="E260" s="4" t="s">
        <v>3065</v>
      </c>
      <c r="F260" s="4" t="s">
        <v>2367</v>
      </c>
      <c r="G260" s="4" t="s">
        <v>49</v>
      </c>
      <c r="H260" s="4" t="s">
        <v>1939</v>
      </c>
      <c r="I260" s="4" t="s">
        <v>1969</v>
      </c>
      <c r="J260" s="4" t="s">
        <v>69</v>
      </c>
      <c r="K260" s="4" t="s">
        <v>3066</v>
      </c>
    </row>
    <row r="261" spans="1:11" x14ac:dyDescent="0.2">
      <c r="A261" s="4" t="s">
        <v>3067</v>
      </c>
      <c r="B261" s="4" t="s">
        <v>1557</v>
      </c>
      <c r="C261" s="4" t="s">
        <v>3068</v>
      </c>
      <c r="D261" s="4" t="s">
        <v>3069</v>
      </c>
      <c r="E261" s="4" t="s">
        <v>3070</v>
      </c>
      <c r="F261" s="4" t="s">
        <v>1964</v>
      </c>
      <c r="G261" s="4" t="s">
        <v>49</v>
      </c>
      <c r="H261" s="4" t="s">
        <v>1939</v>
      </c>
      <c r="I261" s="4" t="s">
        <v>1940</v>
      </c>
      <c r="J261" s="4" t="s">
        <v>72</v>
      </c>
      <c r="K261" s="4" t="s">
        <v>3071</v>
      </c>
    </row>
    <row r="262" spans="1:11" x14ac:dyDescent="0.2">
      <c r="A262" s="4" t="s">
        <v>3072</v>
      </c>
      <c r="B262" s="4" t="s">
        <v>1531</v>
      </c>
      <c r="C262" s="4" t="s">
        <v>3073</v>
      </c>
      <c r="D262" s="4" t="s">
        <v>3074</v>
      </c>
      <c r="E262" s="4" t="s">
        <v>2696</v>
      </c>
      <c r="F262" s="4" t="s">
        <v>2128</v>
      </c>
      <c r="G262" s="4" t="s">
        <v>48</v>
      </c>
      <c r="H262" s="4" t="s">
        <v>1939</v>
      </c>
      <c r="I262" s="4" t="s">
        <v>1959</v>
      </c>
      <c r="J262" s="4" t="s">
        <v>69</v>
      </c>
      <c r="K262" s="4" t="s">
        <v>2969</v>
      </c>
    </row>
    <row r="263" spans="1:11" x14ac:dyDescent="0.2">
      <c r="A263" s="4" t="s">
        <v>3075</v>
      </c>
      <c r="B263" s="4" t="s">
        <v>1553</v>
      </c>
      <c r="C263" s="4" t="s">
        <v>3076</v>
      </c>
      <c r="D263" s="4" t="s">
        <v>3077</v>
      </c>
      <c r="E263" s="4" t="s">
        <v>3078</v>
      </c>
      <c r="F263" s="4" t="s">
        <v>1958</v>
      </c>
      <c r="G263" s="4" t="s">
        <v>50</v>
      </c>
      <c r="H263" s="4" t="s">
        <v>2057</v>
      </c>
      <c r="I263" s="4" t="s">
        <v>1997</v>
      </c>
      <c r="J263" s="4" t="s">
        <v>69</v>
      </c>
      <c r="K263" s="4" t="s">
        <v>3079</v>
      </c>
    </row>
    <row r="264" spans="1:11" x14ac:dyDescent="0.2">
      <c r="A264" s="4" t="s">
        <v>3080</v>
      </c>
      <c r="B264" s="4" t="s">
        <v>1865</v>
      </c>
      <c r="C264" s="4" t="s">
        <v>1972</v>
      </c>
      <c r="D264" s="4" t="s">
        <v>3081</v>
      </c>
      <c r="E264" s="4" t="s">
        <v>3082</v>
      </c>
      <c r="F264" s="4" t="s">
        <v>2032</v>
      </c>
      <c r="G264" s="4" t="s">
        <v>48</v>
      </c>
      <c r="H264" s="4" t="s">
        <v>1939</v>
      </c>
      <c r="I264" s="4" t="s">
        <v>1959</v>
      </c>
      <c r="J264" s="4" t="s">
        <v>72</v>
      </c>
      <c r="K264" s="4" t="s">
        <v>2038</v>
      </c>
    </row>
    <row r="265" spans="1:11" x14ac:dyDescent="0.2">
      <c r="A265" s="4" t="s">
        <v>3083</v>
      </c>
      <c r="B265" s="4" t="s">
        <v>1611</v>
      </c>
      <c r="C265" s="4" t="s">
        <v>2958</v>
      </c>
      <c r="D265" s="4" t="s">
        <v>3084</v>
      </c>
      <c r="E265" s="4" t="s">
        <v>3085</v>
      </c>
      <c r="F265" s="4" t="s">
        <v>2193</v>
      </c>
      <c r="G265" s="4" t="s">
        <v>49</v>
      </c>
      <c r="H265" s="4" t="s">
        <v>1939</v>
      </c>
      <c r="I265" s="4" t="s">
        <v>1969</v>
      </c>
      <c r="J265" s="4" t="s">
        <v>72</v>
      </c>
      <c r="K265" s="4" t="s">
        <v>3086</v>
      </c>
    </row>
    <row r="266" spans="1:11" x14ac:dyDescent="0.2">
      <c r="A266" s="4" t="s">
        <v>3087</v>
      </c>
      <c r="B266" s="4" t="s">
        <v>1794</v>
      </c>
      <c r="C266" s="4" t="s">
        <v>2569</v>
      </c>
      <c r="D266" s="4" t="s">
        <v>3088</v>
      </c>
      <c r="E266" s="4" t="s">
        <v>3089</v>
      </c>
      <c r="F266" s="4" t="s">
        <v>1975</v>
      </c>
      <c r="G266" s="4" t="s">
        <v>48</v>
      </c>
      <c r="H266" s="4" t="s">
        <v>1939</v>
      </c>
      <c r="I266" s="4" t="s">
        <v>1969</v>
      </c>
      <c r="J266" s="4" t="s">
        <v>70</v>
      </c>
      <c r="K266" s="4" t="s">
        <v>3090</v>
      </c>
    </row>
    <row r="267" spans="1:11" x14ac:dyDescent="0.2">
      <c r="A267" s="4" t="s">
        <v>3091</v>
      </c>
      <c r="B267" s="4" t="s">
        <v>1684</v>
      </c>
      <c r="C267" s="4" t="s">
        <v>2533</v>
      </c>
      <c r="D267" s="4" t="s">
        <v>3092</v>
      </c>
      <c r="E267" s="4" t="s">
        <v>3093</v>
      </c>
      <c r="F267" s="4" t="s">
        <v>1992</v>
      </c>
      <c r="G267" s="4" t="s">
        <v>50</v>
      </c>
      <c r="H267" s="4" t="s">
        <v>1939</v>
      </c>
      <c r="I267" s="4" t="s">
        <v>1969</v>
      </c>
      <c r="J267" s="4" t="s">
        <v>69</v>
      </c>
      <c r="K267" s="4" t="s">
        <v>2049</v>
      </c>
    </row>
    <row r="268" spans="1:11" x14ac:dyDescent="0.2">
      <c r="A268" s="4" t="s">
        <v>3094</v>
      </c>
      <c r="B268" s="4" t="s">
        <v>1619</v>
      </c>
      <c r="C268" s="4" t="s">
        <v>3095</v>
      </c>
      <c r="D268" s="4" t="s">
        <v>3096</v>
      </c>
      <c r="E268" s="4" t="s">
        <v>3097</v>
      </c>
      <c r="F268" s="4" t="s">
        <v>1952</v>
      </c>
      <c r="G268" s="4" t="s">
        <v>49</v>
      </c>
      <c r="H268" s="4" t="s">
        <v>1939</v>
      </c>
      <c r="I268" s="4" t="s">
        <v>1940</v>
      </c>
      <c r="J268" s="4" t="s">
        <v>69</v>
      </c>
      <c r="K268" s="4" t="s">
        <v>3098</v>
      </c>
    </row>
    <row r="269" spans="1:11" x14ac:dyDescent="0.2">
      <c r="A269" s="4" t="s">
        <v>3099</v>
      </c>
      <c r="B269" s="4" t="s">
        <v>1872</v>
      </c>
      <c r="C269" s="4" t="s">
        <v>2364</v>
      </c>
      <c r="D269" s="4" t="s">
        <v>3100</v>
      </c>
      <c r="E269" s="4" t="s">
        <v>3101</v>
      </c>
      <c r="F269" s="4" t="s">
        <v>1992</v>
      </c>
      <c r="G269" s="4" t="s">
        <v>50</v>
      </c>
      <c r="H269" s="4" t="s">
        <v>2057</v>
      </c>
      <c r="I269" s="4" t="s">
        <v>1997</v>
      </c>
      <c r="J269" s="4" t="s">
        <v>68</v>
      </c>
      <c r="K269" s="4" t="s">
        <v>3102</v>
      </c>
    </row>
    <row r="270" spans="1:11" x14ac:dyDescent="0.2">
      <c r="A270" s="4" t="s">
        <v>3103</v>
      </c>
      <c r="B270" s="4" t="s">
        <v>1783</v>
      </c>
      <c r="C270" s="4" t="s">
        <v>3104</v>
      </c>
      <c r="D270" s="4" t="s">
        <v>3105</v>
      </c>
      <c r="E270" s="4" t="s">
        <v>3106</v>
      </c>
      <c r="F270" s="4" t="s">
        <v>2193</v>
      </c>
      <c r="G270" s="4" t="s">
        <v>48</v>
      </c>
      <c r="H270" s="4" t="s">
        <v>1939</v>
      </c>
      <c r="I270" s="4" t="s">
        <v>1969</v>
      </c>
      <c r="J270" s="4" t="s">
        <v>72</v>
      </c>
      <c r="K270" s="4" t="s">
        <v>2144</v>
      </c>
    </row>
    <row r="271" spans="1:11" x14ac:dyDescent="0.2">
      <c r="A271" s="4" t="s">
        <v>3107</v>
      </c>
      <c r="B271" s="4" t="s">
        <v>1639</v>
      </c>
      <c r="C271" s="4" t="s">
        <v>3108</v>
      </c>
      <c r="D271" s="4" t="s">
        <v>3109</v>
      </c>
      <c r="E271" s="4" t="s">
        <v>3110</v>
      </c>
      <c r="F271" s="4" t="s">
        <v>1975</v>
      </c>
      <c r="G271" s="4" t="s">
        <v>49</v>
      </c>
      <c r="H271" s="4" t="s">
        <v>1939</v>
      </c>
      <c r="I271" s="4" t="s">
        <v>1969</v>
      </c>
      <c r="J271" s="4" t="s">
        <v>70</v>
      </c>
      <c r="K271" s="4" t="s">
        <v>3111</v>
      </c>
    </row>
    <row r="272" spans="1:11" x14ac:dyDescent="0.2">
      <c r="A272" s="4" t="s">
        <v>3112</v>
      </c>
      <c r="B272" s="4" t="s">
        <v>1596</v>
      </c>
      <c r="C272" s="4" t="s">
        <v>3113</v>
      </c>
      <c r="D272" s="4" t="s">
        <v>3114</v>
      </c>
      <c r="E272" s="4" t="s">
        <v>2621</v>
      </c>
      <c r="F272" s="4" t="s">
        <v>2102</v>
      </c>
      <c r="G272" s="4" t="s">
        <v>48</v>
      </c>
      <c r="H272" s="4" t="s">
        <v>1939</v>
      </c>
      <c r="I272" s="4" t="s">
        <v>1997</v>
      </c>
      <c r="J272" s="4" t="s">
        <v>72</v>
      </c>
      <c r="K272" s="4" t="s">
        <v>3115</v>
      </c>
    </row>
    <row r="273" spans="1:11" x14ac:dyDescent="0.2">
      <c r="A273" s="4" t="s">
        <v>3116</v>
      </c>
      <c r="B273" s="4" t="s">
        <v>1732</v>
      </c>
      <c r="C273" s="4" t="s">
        <v>2330</v>
      </c>
      <c r="D273" s="4" t="s">
        <v>3117</v>
      </c>
      <c r="E273" s="4" t="s">
        <v>3118</v>
      </c>
      <c r="F273" s="4" t="s">
        <v>1952</v>
      </c>
      <c r="G273" s="4" t="s">
        <v>48</v>
      </c>
      <c r="H273" s="4" t="s">
        <v>1939</v>
      </c>
      <c r="I273" s="4" t="s">
        <v>1997</v>
      </c>
      <c r="J273" s="4" t="s">
        <v>72</v>
      </c>
      <c r="K273" s="4" t="s">
        <v>3119</v>
      </c>
    </row>
    <row r="274" spans="1:11" x14ac:dyDescent="0.2">
      <c r="A274" s="4" t="s">
        <v>3120</v>
      </c>
      <c r="B274" s="4" t="s">
        <v>1916</v>
      </c>
      <c r="C274" s="4" t="s">
        <v>3121</v>
      </c>
      <c r="D274" s="4" t="s">
        <v>3122</v>
      </c>
      <c r="E274" s="4" t="s">
        <v>3123</v>
      </c>
      <c r="F274" s="4" t="s">
        <v>1938</v>
      </c>
      <c r="G274" s="4" t="s">
        <v>48</v>
      </c>
      <c r="H274" s="4" t="s">
        <v>1939</v>
      </c>
      <c r="I274" s="4" t="s">
        <v>1959</v>
      </c>
      <c r="J274" s="4" t="s">
        <v>72</v>
      </c>
      <c r="K274" s="4" t="s">
        <v>2320</v>
      </c>
    </row>
    <row r="275" spans="1:11" x14ac:dyDescent="0.2">
      <c r="A275" s="4" t="s">
        <v>3124</v>
      </c>
      <c r="B275" s="4" t="s">
        <v>1639</v>
      </c>
      <c r="C275" s="4" t="s">
        <v>2863</v>
      </c>
      <c r="D275" s="4" t="s">
        <v>3125</v>
      </c>
      <c r="E275" s="4" t="s">
        <v>1502</v>
      </c>
      <c r="F275" s="4" t="s">
        <v>1992</v>
      </c>
      <c r="G275" s="4" t="s">
        <v>48</v>
      </c>
      <c r="H275" s="4" t="s">
        <v>1939</v>
      </c>
      <c r="I275" s="4" t="s">
        <v>1959</v>
      </c>
      <c r="J275" s="4" t="s">
        <v>69</v>
      </c>
      <c r="K275" s="4" t="s">
        <v>3126</v>
      </c>
    </row>
    <row r="276" spans="1:11" x14ac:dyDescent="0.2">
      <c r="A276" s="4" t="s">
        <v>3127</v>
      </c>
      <c r="B276" s="4" t="s">
        <v>1655</v>
      </c>
      <c r="C276" s="4" t="s">
        <v>3128</v>
      </c>
      <c r="D276" s="4" t="s">
        <v>3129</v>
      </c>
      <c r="E276" s="4" t="s">
        <v>1519</v>
      </c>
      <c r="F276" s="4" t="s">
        <v>1975</v>
      </c>
      <c r="G276" s="4" t="s">
        <v>49</v>
      </c>
      <c r="H276" s="4" t="s">
        <v>1939</v>
      </c>
      <c r="I276" s="4" t="s">
        <v>1959</v>
      </c>
      <c r="J276" s="4" t="s">
        <v>70</v>
      </c>
      <c r="K276" s="4" t="s">
        <v>3130</v>
      </c>
    </row>
    <row r="277" spans="1:11" x14ac:dyDescent="0.2">
      <c r="A277" s="4" t="s">
        <v>3131</v>
      </c>
      <c r="B277" s="4" t="s">
        <v>1491</v>
      </c>
      <c r="C277" s="4" t="s">
        <v>3033</v>
      </c>
      <c r="D277" s="4" t="s">
        <v>3132</v>
      </c>
      <c r="E277" s="4" t="s">
        <v>3133</v>
      </c>
      <c r="F277" s="4" t="s">
        <v>1975</v>
      </c>
      <c r="G277" s="4" t="s">
        <v>49</v>
      </c>
      <c r="H277" s="4" t="s">
        <v>1939</v>
      </c>
      <c r="I277" s="4" t="s">
        <v>1959</v>
      </c>
      <c r="J277" s="4" t="s">
        <v>72</v>
      </c>
      <c r="K277" s="4" t="s">
        <v>3134</v>
      </c>
    </row>
    <row r="278" spans="1:11" x14ac:dyDescent="0.2">
      <c r="A278" s="4" t="s">
        <v>3135</v>
      </c>
      <c r="B278" s="4" t="s">
        <v>1517</v>
      </c>
      <c r="C278" s="4" t="s">
        <v>2355</v>
      </c>
      <c r="D278" s="4" t="s">
        <v>3136</v>
      </c>
      <c r="E278" s="4" t="s">
        <v>2893</v>
      </c>
      <c r="F278" s="4" t="s">
        <v>2043</v>
      </c>
      <c r="G278" s="4" t="s">
        <v>50</v>
      </c>
      <c r="H278" s="4" t="s">
        <v>2057</v>
      </c>
      <c r="I278" s="4" t="s">
        <v>1997</v>
      </c>
      <c r="J278" s="4" t="s">
        <v>70</v>
      </c>
      <c r="K278" s="4" t="s">
        <v>3137</v>
      </c>
    </row>
    <row r="279" spans="1:11" x14ac:dyDescent="0.2">
      <c r="A279" s="4" t="s">
        <v>3138</v>
      </c>
      <c r="B279" s="4" t="s">
        <v>1760</v>
      </c>
      <c r="C279" s="4" t="s">
        <v>2694</v>
      </c>
      <c r="D279" s="4" t="s">
        <v>3139</v>
      </c>
      <c r="E279" s="4" t="s">
        <v>3140</v>
      </c>
      <c r="F279" s="4" t="s">
        <v>2193</v>
      </c>
      <c r="G279" s="4" t="s">
        <v>48</v>
      </c>
      <c r="H279" s="4" t="s">
        <v>1939</v>
      </c>
      <c r="I279" s="4" t="s">
        <v>1997</v>
      </c>
      <c r="J279" s="4" t="s">
        <v>70</v>
      </c>
      <c r="K279" s="4" t="s">
        <v>2460</v>
      </c>
    </row>
    <row r="280" spans="1:11" x14ac:dyDescent="0.2">
      <c r="A280" s="4" t="s">
        <v>3141</v>
      </c>
      <c r="B280" s="4" t="s">
        <v>1887</v>
      </c>
      <c r="C280" s="4" t="s">
        <v>3142</v>
      </c>
      <c r="D280" s="4" t="s">
        <v>3143</v>
      </c>
      <c r="E280" s="4" t="s">
        <v>3144</v>
      </c>
      <c r="F280" s="4" t="s">
        <v>1958</v>
      </c>
      <c r="G280" s="4" t="s">
        <v>48</v>
      </c>
      <c r="H280" s="4" t="s">
        <v>1939</v>
      </c>
      <c r="I280" s="4" t="s">
        <v>1997</v>
      </c>
      <c r="J280" s="4" t="s">
        <v>70</v>
      </c>
      <c r="K280" s="4" t="s">
        <v>3145</v>
      </c>
    </row>
    <row r="281" spans="1:11" x14ac:dyDescent="0.2">
      <c r="A281" s="4" t="s">
        <v>3146</v>
      </c>
      <c r="B281" s="4" t="s">
        <v>1828</v>
      </c>
      <c r="C281" s="4" t="s">
        <v>3147</v>
      </c>
      <c r="D281" s="4" t="s">
        <v>3148</v>
      </c>
      <c r="E281" s="4" t="s">
        <v>3149</v>
      </c>
      <c r="F281" s="4" t="s">
        <v>1975</v>
      </c>
      <c r="G281" s="4" t="s">
        <v>48</v>
      </c>
      <c r="H281" s="4" t="s">
        <v>1939</v>
      </c>
      <c r="I281" s="4" t="s">
        <v>1997</v>
      </c>
      <c r="J281" s="4" t="s">
        <v>69</v>
      </c>
      <c r="K281" s="4" t="s">
        <v>2118</v>
      </c>
    </row>
    <row r="282" spans="1:11" x14ac:dyDescent="0.2">
      <c r="A282" s="4" t="s">
        <v>3150</v>
      </c>
      <c r="B282" s="4" t="s">
        <v>1868</v>
      </c>
      <c r="C282" s="4" t="s">
        <v>1967</v>
      </c>
      <c r="D282" s="4" t="s">
        <v>3151</v>
      </c>
      <c r="E282" s="4" t="s">
        <v>3152</v>
      </c>
      <c r="F282" s="4" t="s">
        <v>1975</v>
      </c>
      <c r="G282" s="4" t="s">
        <v>48</v>
      </c>
      <c r="H282" s="4" t="s">
        <v>1939</v>
      </c>
      <c r="I282" s="4" t="s">
        <v>1997</v>
      </c>
      <c r="J282" s="4" t="s">
        <v>72</v>
      </c>
      <c r="K282" s="4" t="s">
        <v>2199</v>
      </c>
    </row>
    <row r="283" spans="1:11" x14ac:dyDescent="0.2">
      <c r="A283" s="4" t="s">
        <v>3153</v>
      </c>
      <c r="B283" s="4" t="s">
        <v>1662</v>
      </c>
      <c r="C283" s="4" t="s">
        <v>3154</v>
      </c>
      <c r="D283" s="4" t="s">
        <v>3155</v>
      </c>
      <c r="E283" s="4" t="s">
        <v>3156</v>
      </c>
      <c r="F283" s="4" t="s">
        <v>2043</v>
      </c>
      <c r="G283" s="4" t="s">
        <v>50</v>
      </c>
      <c r="H283" s="4" t="s">
        <v>2057</v>
      </c>
      <c r="I283" s="4" t="s">
        <v>1997</v>
      </c>
      <c r="J283" s="4" t="s">
        <v>71</v>
      </c>
      <c r="K283" s="4" t="s">
        <v>1953</v>
      </c>
    </row>
    <row r="284" spans="1:11" x14ac:dyDescent="0.2">
      <c r="A284" s="4" t="s">
        <v>3157</v>
      </c>
      <c r="B284" s="4" t="s">
        <v>1655</v>
      </c>
      <c r="C284" s="4" t="s">
        <v>2754</v>
      </c>
      <c r="D284" s="4" t="s">
        <v>3158</v>
      </c>
      <c r="E284" s="4" t="s">
        <v>3159</v>
      </c>
      <c r="F284" s="4" t="s">
        <v>2002</v>
      </c>
      <c r="G284" s="4" t="s">
        <v>49</v>
      </c>
      <c r="H284" s="4" t="s">
        <v>1939</v>
      </c>
      <c r="I284" s="4" t="s">
        <v>1959</v>
      </c>
      <c r="J284" s="4" t="s">
        <v>69</v>
      </c>
      <c r="K284" s="4" t="s">
        <v>3160</v>
      </c>
    </row>
    <row r="285" spans="1:11" x14ac:dyDescent="0.2">
      <c r="A285" s="4" t="s">
        <v>3161</v>
      </c>
      <c r="B285" s="4" t="s">
        <v>1855</v>
      </c>
      <c r="C285" s="4" t="s">
        <v>1962</v>
      </c>
      <c r="D285" s="4" t="s">
        <v>3162</v>
      </c>
      <c r="E285" s="4" t="s">
        <v>1857</v>
      </c>
      <c r="F285" s="4" t="s">
        <v>2198</v>
      </c>
      <c r="G285" s="4" t="s">
        <v>50</v>
      </c>
      <c r="H285" s="4" t="s">
        <v>1939</v>
      </c>
      <c r="I285" s="4" t="s">
        <v>1940</v>
      </c>
      <c r="J285" s="4" t="s">
        <v>69</v>
      </c>
      <c r="K285" s="4" t="s">
        <v>2243</v>
      </c>
    </row>
    <row r="286" spans="1:11" x14ac:dyDescent="0.2">
      <c r="A286" s="4" t="s">
        <v>3163</v>
      </c>
      <c r="B286" s="4" t="s">
        <v>1596</v>
      </c>
      <c r="C286" s="4" t="s">
        <v>3113</v>
      </c>
      <c r="D286" s="4" t="s">
        <v>3164</v>
      </c>
      <c r="E286" s="4" t="s">
        <v>3165</v>
      </c>
      <c r="F286" s="4" t="s">
        <v>2159</v>
      </c>
      <c r="G286" s="4" t="s">
        <v>48</v>
      </c>
      <c r="H286" s="4" t="s">
        <v>1939</v>
      </c>
      <c r="I286" s="4" t="s">
        <v>1997</v>
      </c>
      <c r="J286" s="4" t="s">
        <v>70</v>
      </c>
      <c r="K286" s="4" t="s">
        <v>2866</v>
      </c>
    </row>
    <row r="287" spans="1:11" x14ac:dyDescent="0.2">
      <c r="A287" s="4" t="s">
        <v>3166</v>
      </c>
      <c r="B287" s="4" t="s">
        <v>1858</v>
      </c>
      <c r="C287" s="4" t="s">
        <v>2457</v>
      </c>
      <c r="D287" s="4" t="s">
        <v>3167</v>
      </c>
      <c r="E287" s="4" t="s">
        <v>3168</v>
      </c>
      <c r="F287" s="4" t="s">
        <v>2367</v>
      </c>
      <c r="G287" s="4" t="s">
        <v>48</v>
      </c>
      <c r="H287" s="4" t="s">
        <v>1939</v>
      </c>
      <c r="I287" s="4" t="s">
        <v>1969</v>
      </c>
      <c r="J287" s="4" t="s">
        <v>70</v>
      </c>
      <c r="K287" s="4" t="s">
        <v>3169</v>
      </c>
    </row>
    <row r="288" spans="1:11" x14ac:dyDescent="0.2">
      <c r="A288" s="4" t="s">
        <v>3170</v>
      </c>
      <c r="B288" s="4" t="s">
        <v>1852</v>
      </c>
      <c r="C288" s="4" t="s">
        <v>3171</v>
      </c>
      <c r="D288" s="4" t="s">
        <v>3172</v>
      </c>
      <c r="E288" s="4" t="s">
        <v>3173</v>
      </c>
      <c r="F288" s="4" t="s">
        <v>2043</v>
      </c>
      <c r="G288" s="4" t="s">
        <v>48</v>
      </c>
      <c r="H288" s="4" t="s">
        <v>1939</v>
      </c>
      <c r="I288" s="4" t="s">
        <v>1940</v>
      </c>
      <c r="J288" s="4" t="s">
        <v>70</v>
      </c>
      <c r="K288" s="4" t="s">
        <v>3174</v>
      </c>
    </row>
    <row r="289" spans="1:11" x14ac:dyDescent="0.2">
      <c r="A289" s="4" t="s">
        <v>3175</v>
      </c>
      <c r="B289" s="4" t="s">
        <v>1632</v>
      </c>
      <c r="C289" s="4" t="s">
        <v>3176</v>
      </c>
      <c r="D289" s="4" t="s">
        <v>3177</v>
      </c>
      <c r="E289" s="4" t="s">
        <v>2821</v>
      </c>
      <c r="F289" s="4" t="s">
        <v>1938</v>
      </c>
      <c r="G289" s="4" t="s">
        <v>48</v>
      </c>
      <c r="H289" s="4" t="s">
        <v>1939</v>
      </c>
      <c r="I289" s="4" t="s">
        <v>1969</v>
      </c>
      <c r="J289" s="4" t="s">
        <v>70</v>
      </c>
      <c r="K289" s="4" t="s">
        <v>2068</v>
      </c>
    </row>
    <row r="290" spans="1:11" x14ac:dyDescent="0.2">
      <c r="A290" s="4" t="s">
        <v>3178</v>
      </c>
      <c r="B290" s="4" t="s">
        <v>1872</v>
      </c>
      <c r="C290" s="4" t="s">
        <v>2364</v>
      </c>
      <c r="D290" s="4" t="s">
        <v>3179</v>
      </c>
      <c r="E290" s="4" t="s">
        <v>3180</v>
      </c>
      <c r="F290" s="4" t="s">
        <v>2198</v>
      </c>
      <c r="G290" s="4" t="s">
        <v>48</v>
      </c>
      <c r="H290" s="4" t="s">
        <v>1939</v>
      </c>
      <c r="I290" s="4" t="s">
        <v>1940</v>
      </c>
      <c r="J290" s="4" t="s">
        <v>72</v>
      </c>
      <c r="K290" s="4" t="s">
        <v>3181</v>
      </c>
    </row>
    <row r="291" spans="1:11" x14ac:dyDescent="0.2">
      <c r="A291" s="4" t="s">
        <v>3182</v>
      </c>
      <c r="B291" s="4" t="s">
        <v>1756</v>
      </c>
      <c r="C291" s="4" t="s">
        <v>3183</v>
      </c>
      <c r="D291" s="4" t="s">
        <v>3184</v>
      </c>
      <c r="E291" s="4" t="s">
        <v>3185</v>
      </c>
      <c r="F291" s="4" t="s">
        <v>1964</v>
      </c>
      <c r="G291" s="4" t="s">
        <v>48</v>
      </c>
      <c r="H291" s="4" t="s">
        <v>1939</v>
      </c>
      <c r="I291" s="4" t="s">
        <v>1969</v>
      </c>
      <c r="J291" s="4" t="s">
        <v>72</v>
      </c>
      <c r="K291" s="4" t="s">
        <v>3186</v>
      </c>
    </row>
    <row r="292" spans="1:11" x14ac:dyDescent="0.2">
      <c r="A292" s="4" t="s">
        <v>3187</v>
      </c>
      <c r="B292" s="4" t="s">
        <v>1628</v>
      </c>
      <c r="C292" s="4" t="s">
        <v>3188</v>
      </c>
      <c r="D292" s="4" t="s">
        <v>3189</v>
      </c>
      <c r="E292" s="4" t="s">
        <v>3190</v>
      </c>
      <c r="F292" s="4" t="s">
        <v>1952</v>
      </c>
      <c r="G292" s="4" t="s">
        <v>49</v>
      </c>
      <c r="H292" s="4" t="s">
        <v>1939</v>
      </c>
      <c r="I292" s="4" t="s">
        <v>1959</v>
      </c>
      <c r="J292" s="4" t="s">
        <v>70</v>
      </c>
      <c r="K292" s="4" t="s">
        <v>2524</v>
      </c>
    </row>
    <row r="293" spans="1:11" x14ac:dyDescent="0.2">
      <c r="A293" s="4" t="s">
        <v>3191</v>
      </c>
      <c r="B293" s="4" t="s">
        <v>1727</v>
      </c>
      <c r="C293" s="4" t="s">
        <v>3192</v>
      </c>
      <c r="D293" s="4" t="s">
        <v>3193</v>
      </c>
      <c r="E293" s="4" t="s">
        <v>2998</v>
      </c>
      <c r="F293" s="4" t="s">
        <v>2043</v>
      </c>
      <c r="G293" s="4" t="s">
        <v>48</v>
      </c>
      <c r="H293" s="4" t="s">
        <v>1939</v>
      </c>
      <c r="I293" s="4" t="s">
        <v>1940</v>
      </c>
      <c r="J293" s="4" t="s">
        <v>72</v>
      </c>
      <c r="K293" s="4" t="s">
        <v>3194</v>
      </c>
    </row>
    <row r="294" spans="1:11" x14ac:dyDescent="0.2">
      <c r="A294" s="4" t="s">
        <v>3195</v>
      </c>
      <c r="B294" s="4" t="s">
        <v>1779</v>
      </c>
      <c r="C294" s="4" t="s">
        <v>2225</v>
      </c>
      <c r="D294" s="4" t="s">
        <v>3196</v>
      </c>
      <c r="E294" s="4" t="s">
        <v>3197</v>
      </c>
      <c r="F294" s="4" t="s">
        <v>2002</v>
      </c>
      <c r="G294" s="4" t="s">
        <v>50</v>
      </c>
      <c r="H294" s="4" t="s">
        <v>2057</v>
      </c>
      <c r="I294" s="4" t="s">
        <v>1997</v>
      </c>
      <c r="J294" s="4" t="s">
        <v>70</v>
      </c>
      <c r="K294" s="4" t="s">
        <v>2118</v>
      </c>
    </row>
    <row r="295" spans="1:11" x14ac:dyDescent="0.2">
      <c r="A295" s="4" t="s">
        <v>3198</v>
      </c>
      <c r="B295" s="4" t="s">
        <v>1713</v>
      </c>
      <c r="C295" s="4" t="s">
        <v>2555</v>
      </c>
      <c r="D295" s="4" t="s">
        <v>3199</v>
      </c>
      <c r="E295" s="4" t="s">
        <v>3200</v>
      </c>
      <c r="F295" s="4" t="s">
        <v>2367</v>
      </c>
      <c r="G295" s="4" t="s">
        <v>48</v>
      </c>
      <c r="H295" s="4" t="s">
        <v>1939</v>
      </c>
      <c r="I295" s="4" t="s">
        <v>1969</v>
      </c>
      <c r="J295" s="4" t="s">
        <v>70</v>
      </c>
      <c r="K295" s="4" t="s">
        <v>2581</v>
      </c>
    </row>
    <row r="296" spans="1:11" x14ac:dyDescent="0.2">
      <c r="A296" s="4" t="s">
        <v>3201</v>
      </c>
      <c r="B296" s="4" t="s">
        <v>1659</v>
      </c>
      <c r="C296" s="4" t="s">
        <v>2378</v>
      </c>
      <c r="D296" s="4" t="s">
        <v>3202</v>
      </c>
      <c r="E296" s="4" t="s">
        <v>1843</v>
      </c>
      <c r="F296" s="4" t="s">
        <v>2043</v>
      </c>
      <c r="G296" s="4" t="s">
        <v>48</v>
      </c>
      <c r="H296" s="4" t="s">
        <v>1939</v>
      </c>
      <c r="I296" s="4" t="s">
        <v>1997</v>
      </c>
      <c r="J296" s="4" t="s">
        <v>69</v>
      </c>
      <c r="K296" s="4" t="s">
        <v>3203</v>
      </c>
    </row>
    <row r="297" spans="1:11" x14ac:dyDescent="0.2">
      <c r="A297" s="4" t="s">
        <v>3204</v>
      </c>
      <c r="B297" s="4" t="s">
        <v>1566</v>
      </c>
      <c r="C297" s="4" t="s">
        <v>2245</v>
      </c>
      <c r="D297" s="4" t="s">
        <v>3205</v>
      </c>
      <c r="E297" s="4" t="s">
        <v>3206</v>
      </c>
      <c r="F297" s="4" t="s">
        <v>1938</v>
      </c>
      <c r="G297" s="4" t="s">
        <v>49</v>
      </c>
      <c r="H297" s="4" t="s">
        <v>1939</v>
      </c>
      <c r="I297" s="4" t="s">
        <v>1997</v>
      </c>
      <c r="J297" s="4" t="s">
        <v>72</v>
      </c>
      <c r="K297" s="4" t="s">
        <v>3207</v>
      </c>
    </row>
    <row r="298" spans="1:11" x14ac:dyDescent="0.2">
      <c r="A298" s="4" t="s">
        <v>3208</v>
      </c>
      <c r="B298" s="4" t="s">
        <v>1588</v>
      </c>
      <c r="C298" s="4" t="s">
        <v>2886</v>
      </c>
      <c r="D298" s="4" t="s">
        <v>3209</v>
      </c>
      <c r="E298" s="4" t="s">
        <v>1901</v>
      </c>
      <c r="F298" s="4" t="s">
        <v>2108</v>
      </c>
      <c r="G298" s="4" t="s">
        <v>49</v>
      </c>
      <c r="H298" s="4" t="s">
        <v>1939</v>
      </c>
      <c r="I298" s="4" t="s">
        <v>1959</v>
      </c>
      <c r="J298" s="4" t="s">
        <v>70</v>
      </c>
      <c r="K298" s="4" t="s">
        <v>2049</v>
      </c>
    </row>
    <row r="299" spans="1:11" x14ac:dyDescent="0.2">
      <c r="A299" s="4" t="s">
        <v>3210</v>
      </c>
      <c r="B299" s="4" t="s">
        <v>1906</v>
      </c>
      <c r="C299" s="4" t="s">
        <v>3211</v>
      </c>
      <c r="D299" s="4" t="s">
        <v>3212</v>
      </c>
      <c r="E299" s="4" t="s">
        <v>3213</v>
      </c>
      <c r="F299" s="4" t="s">
        <v>2159</v>
      </c>
      <c r="G299" s="4" t="s">
        <v>48</v>
      </c>
      <c r="H299" s="4" t="s">
        <v>1939</v>
      </c>
      <c r="I299" s="4" t="s">
        <v>1997</v>
      </c>
      <c r="J299" s="4" t="s">
        <v>69</v>
      </c>
      <c r="K299" s="4" t="s">
        <v>3214</v>
      </c>
    </row>
    <row r="300" spans="1:11" x14ac:dyDescent="0.2">
      <c r="A300" s="4" t="s">
        <v>3215</v>
      </c>
      <c r="B300" s="4" t="s">
        <v>1798</v>
      </c>
      <c r="C300" s="4" t="s">
        <v>1989</v>
      </c>
      <c r="D300" s="4" t="s">
        <v>3216</v>
      </c>
      <c r="E300" s="4" t="s">
        <v>3217</v>
      </c>
      <c r="F300" s="4" t="s">
        <v>2198</v>
      </c>
      <c r="G300" s="4" t="s">
        <v>48</v>
      </c>
      <c r="H300" s="4" t="s">
        <v>1939</v>
      </c>
      <c r="I300" s="4" t="s">
        <v>1969</v>
      </c>
      <c r="J300" s="4" t="s">
        <v>70</v>
      </c>
      <c r="K300" s="4" t="s">
        <v>2832</v>
      </c>
    </row>
    <row r="301" spans="1:11" x14ac:dyDescent="0.2">
      <c r="A301" s="4" t="s">
        <v>3218</v>
      </c>
      <c r="B301" s="4" t="s">
        <v>1828</v>
      </c>
      <c r="C301" s="4" t="s">
        <v>2426</v>
      </c>
      <c r="D301" s="4" t="s">
        <v>3219</v>
      </c>
      <c r="E301" s="4" t="s">
        <v>3220</v>
      </c>
      <c r="F301" s="4" t="s">
        <v>2128</v>
      </c>
      <c r="G301" s="4" t="s">
        <v>50</v>
      </c>
      <c r="H301" s="4" t="s">
        <v>2057</v>
      </c>
      <c r="I301" s="4" t="s">
        <v>1997</v>
      </c>
      <c r="J301" s="4" t="s">
        <v>71</v>
      </c>
      <c r="K301" s="4" t="s">
        <v>2871</v>
      </c>
    </row>
    <row r="302" spans="1:11" x14ac:dyDescent="0.2">
      <c r="A302" s="4" t="s">
        <v>3221</v>
      </c>
      <c r="B302" s="4" t="s">
        <v>1764</v>
      </c>
      <c r="C302" s="4" t="s">
        <v>2046</v>
      </c>
      <c r="D302" s="4" t="s">
        <v>3222</v>
      </c>
      <c r="E302" s="4" t="s">
        <v>2851</v>
      </c>
      <c r="F302" s="4" t="s">
        <v>2032</v>
      </c>
      <c r="G302" s="4" t="s">
        <v>48</v>
      </c>
      <c r="H302" s="4" t="s">
        <v>1939</v>
      </c>
      <c r="I302" s="4" t="s">
        <v>1969</v>
      </c>
      <c r="J302" s="4" t="s">
        <v>69</v>
      </c>
      <c r="K302" s="4" t="s">
        <v>3223</v>
      </c>
    </row>
    <row r="303" spans="1:11" x14ac:dyDescent="0.2">
      <c r="A303" s="4" t="s">
        <v>3224</v>
      </c>
      <c r="B303" s="4" t="s">
        <v>1844</v>
      </c>
      <c r="C303" s="4" t="s">
        <v>3225</v>
      </c>
      <c r="D303" s="4" t="s">
        <v>3226</v>
      </c>
      <c r="E303" s="4" t="s">
        <v>3227</v>
      </c>
      <c r="F303" s="4" t="s">
        <v>2159</v>
      </c>
      <c r="G303" s="4" t="s">
        <v>50</v>
      </c>
      <c r="H303" s="4" t="s">
        <v>1939</v>
      </c>
      <c r="I303" s="4" t="s">
        <v>1969</v>
      </c>
      <c r="J303" s="4" t="s">
        <v>69</v>
      </c>
      <c r="K303" s="4" t="s">
        <v>3228</v>
      </c>
    </row>
    <row r="304" spans="1:11" x14ac:dyDescent="0.2">
      <c r="A304" s="4" t="s">
        <v>3229</v>
      </c>
      <c r="B304" s="4" t="s">
        <v>1662</v>
      </c>
      <c r="C304" s="4" t="s">
        <v>3230</v>
      </c>
      <c r="D304" s="4" t="s">
        <v>3231</v>
      </c>
      <c r="E304" s="4" t="s">
        <v>1745</v>
      </c>
      <c r="F304" s="4" t="s">
        <v>2002</v>
      </c>
      <c r="G304" s="4" t="s">
        <v>49</v>
      </c>
      <c r="H304" s="4" t="s">
        <v>1939</v>
      </c>
      <c r="I304" s="4" t="s">
        <v>1940</v>
      </c>
      <c r="J304" s="4" t="s">
        <v>69</v>
      </c>
      <c r="K304" s="4" t="s">
        <v>3232</v>
      </c>
    </row>
    <row r="305" spans="1:11" x14ac:dyDescent="0.2">
      <c r="A305" s="4" t="s">
        <v>3233</v>
      </c>
      <c r="B305" s="4" t="s">
        <v>1739</v>
      </c>
      <c r="C305" s="4" t="s">
        <v>2215</v>
      </c>
      <c r="D305" s="4" t="s">
        <v>3234</v>
      </c>
      <c r="E305" s="4" t="s">
        <v>2696</v>
      </c>
      <c r="F305" s="4" t="s">
        <v>2367</v>
      </c>
      <c r="G305" s="4" t="s">
        <v>50</v>
      </c>
      <c r="H305" s="4" t="s">
        <v>2057</v>
      </c>
      <c r="I305" s="4" t="s">
        <v>1940</v>
      </c>
      <c r="J305" s="4" t="s">
        <v>68</v>
      </c>
      <c r="K305" s="4" t="s">
        <v>3235</v>
      </c>
    </row>
    <row r="306" spans="1:11" x14ac:dyDescent="0.2">
      <c r="A306" s="4" t="s">
        <v>3236</v>
      </c>
      <c r="B306" s="4" t="s">
        <v>1545</v>
      </c>
      <c r="C306" s="4" t="s">
        <v>2521</v>
      </c>
      <c r="D306" s="4" t="s">
        <v>3237</v>
      </c>
      <c r="E306" s="4" t="s">
        <v>3238</v>
      </c>
      <c r="F306" s="4" t="s">
        <v>1958</v>
      </c>
      <c r="G306" s="4" t="s">
        <v>48</v>
      </c>
      <c r="H306" s="4" t="s">
        <v>1939</v>
      </c>
      <c r="I306" s="4" t="s">
        <v>1940</v>
      </c>
      <c r="J306" s="4" t="s">
        <v>69</v>
      </c>
      <c r="K306" s="4" t="s">
        <v>3203</v>
      </c>
    </row>
    <row r="307" spans="1:11" x14ac:dyDescent="0.2">
      <c r="A307" s="4" t="s">
        <v>3239</v>
      </c>
      <c r="B307" s="4" t="s">
        <v>1794</v>
      </c>
      <c r="C307" s="4" t="s">
        <v>3240</v>
      </c>
      <c r="D307" s="4" t="s">
        <v>3241</v>
      </c>
      <c r="E307" s="4" t="s">
        <v>2096</v>
      </c>
      <c r="F307" s="4" t="s">
        <v>1958</v>
      </c>
      <c r="G307" s="4" t="s">
        <v>49</v>
      </c>
      <c r="H307" s="4" t="s">
        <v>1939</v>
      </c>
      <c r="I307" s="4" t="s">
        <v>1997</v>
      </c>
      <c r="J307" s="4" t="s">
        <v>69</v>
      </c>
      <c r="K307" s="4" t="s">
        <v>3242</v>
      </c>
    </row>
    <row r="308" spans="1:11" x14ac:dyDescent="0.2">
      <c r="A308" s="4" t="s">
        <v>3243</v>
      </c>
      <c r="B308" s="4" t="s">
        <v>1691</v>
      </c>
      <c r="C308" s="4" t="s">
        <v>3244</v>
      </c>
      <c r="D308" s="4" t="s">
        <v>3245</v>
      </c>
      <c r="E308" s="4" t="s">
        <v>3246</v>
      </c>
      <c r="F308" s="4" t="s">
        <v>2102</v>
      </c>
      <c r="G308" s="4" t="s">
        <v>49</v>
      </c>
      <c r="H308" s="4" t="s">
        <v>1939</v>
      </c>
      <c r="I308" s="4" t="s">
        <v>1959</v>
      </c>
      <c r="J308" s="4" t="s">
        <v>70</v>
      </c>
      <c r="K308" s="4" t="s">
        <v>2038</v>
      </c>
    </row>
    <row r="309" spans="1:11" x14ac:dyDescent="0.2">
      <c r="A309" s="4" t="s">
        <v>3247</v>
      </c>
      <c r="B309" s="4" t="s">
        <v>1588</v>
      </c>
      <c r="C309" s="4" t="s">
        <v>2000</v>
      </c>
      <c r="D309" s="4" t="s">
        <v>3248</v>
      </c>
      <c r="E309" s="4" t="s">
        <v>3249</v>
      </c>
      <c r="F309" s="4" t="s">
        <v>1958</v>
      </c>
      <c r="G309" s="4" t="s">
        <v>49</v>
      </c>
      <c r="H309" s="4" t="s">
        <v>1939</v>
      </c>
      <c r="I309" s="4" t="s">
        <v>1959</v>
      </c>
      <c r="J309" s="4" t="s">
        <v>69</v>
      </c>
      <c r="K309" s="4" t="s">
        <v>3250</v>
      </c>
    </row>
    <row r="310" spans="1:11" x14ac:dyDescent="0.2">
      <c r="A310" s="4" t="s">
        <v>3251</v>
      </c>
      <c r="B310" s="4" t="s">
        <v>1746</v>
      </c>
      <c r="C310" s="4" t="s">
        <v>3252</v>
      </c>
      <c r="D310" s="4" t="s">
        <v>3253</v>
      </c>
      <c r="E310" s="4" t="s">
        <v>2856</v>
      </c>
      <c r="F310" s="4" t="s">
        <v>2159</v>
      </c>
      <c r="G310" s="4" t="s">
        <v>49</v>
      </c>
      <c r="H310" s="4" t="s">
        <v>1939</v>
      </c>
      <c r="I310" s="4" t="s">
        <v>1940</v>
      </c>
      <c r="J310" s="4" t="s">
        <v>69</v>
      </c>
      <c r="K310" s="4" t="s">
        <v>2223</v>
      </c>
    </row>
    <row r="311" spans="1:11" x14ac:dyDescent="0.2">
      <c r="A311" s="4" t="s">
        <v>3254</v>
      </c>
      <c r="B311" s="4" t="s">
        <v>1557</v>
      </c>
      <c r="C311" s="4" t="s">
        <v>3068</v>
      </c>
      <c r="D311" s="4" t="s">
        <v>3255</v>
      </c>
      <c r="E311" s="4" t="s">
        <v>3256</v>
      </c>
      <c r="F311" s="4" t="s">
        <v>1938</v>
      </c>
      <c r="G311" s="4" t="s">
        <v>50</v>
      </c>
      <c r="H311" s="4" t="s">
        <v>2057</v>
      </c>
      <c r="I311" s="4" t="s">
        <v>1940</v>
      </c>
      <c r="J311" s="4" t="s">
        <v>71</v>
      </c>
      <c r="K311" s="4" t="s">
        <v>3257</v>
      </c>
    </row>
    <row r="312" spans="1:11" x14ac:dyDescent="0.2">
      <c r="A312" s="4" t="s">
        <v>3258</v>
      </c>
      <c r="B312" s="4" t="s">
        <v>1505</v>
      </c>
      <c r="C312" s="4" t="s">
        <v>2312</v>
      </c>
      <c r="D312" s="4" t="s">
        <v>3259</v>
      </c>
      <c r="E312" s="4" t="s">
        <v>3260</v>
      </c>
      <c r="F312" s="4" t="s">
        <v>2018</v>
      </c>
      <c r="G312" s="4" t="s">
        <v>50</v>
      </c>
      <c r="H312" s="4" t="s">
        <v>2057</v>
      </c>
      <c r="I312" s="4" t="s">
        <v>1997</v>
      </c>
      <c r="J312" s="4" t="s">
        <v>72</v>
      </c>
      <c r="K312" s="4" t="s">
        <v>3261</v>
      </c>
    </row>
    <row r="313" spans="1:11" x14ac:dyDescent="0.2">
      <c r="A313" s="4" t="s">
        <v>3262</v>
      </c>
      <c r="B313" s="4" t="s">
        <v>1787</v>
      </c>
      <c r="C313" s="4" t="s">
        <v>3263</v>
      </c>
      <c r="D313" s="4" t="s">
        <v>3264</v>
      </c>
      <c r="E313" s="4" t="s">
        <v>3265</v>
      </c>
      <c r="F313" s="4" t="s">
        <v>1952</v>
      </c>
      <c r="G313" s="4" t="s">
        <v>48</v>
      </c>
      <c r="H313" s="4" t="s">
        <v>1939</v>
      </c>
      <c r="I313" s="4" t="s">
        <v>1969</v>
      </c>
      <c r="J313" s="4" t="s">
        <v>72</v>
      </c>
      <c r="K313" s="4" t="s">
        <v>3266</v>
      </c>
    </row>
    <row r="314" spans="1:11" x14ac:dyDescent="0.2">
      <c r="A314" s="4" t="s">
        <v>3267</v>
      </c>
      <c r="B314" s="4" t="s">
        <v>1604</v>
      </c>
      <c r="C314" s="4" t="s">
        <v>2284</v>
      </c>
      <c r="D314" s="4" t="s">
        <v>3268</v>
      </c>
      <c r="E314" s="4" t="s">
        <v>1815</v>
      </c>
      <c r="F314" s="4" t="s">
        <v>1981</v>
      </c>
      <c r="G314" s="4" t="s">
        <v>48</v>
      </c>
      <c r="H314" s="4" t="s">
        <v>1939</v>
      </c>
      <c r="I314" s="4" t="s">
        <v>1940</v>
      </c>
      <c r="J314" s="4" t="s">
        <v>70</v>
      </c>
      <c r="K314" s="4" t="s">
        <v>3269</v>
      </c>
    </row>
    <row r="315" spans="1:11" x14ac:dyDescent="0.2">
      <c r="A315" s="4" t="s">
        <v>3270</v>
      </c>
      <c r="B315" s="4" t="s">
        <v>1698</v>
      </c>
      <c r="C315" s="4" t="s">
        <v>2954</v>
      </c>
      <c r="D315" s="4" t="s">
        <v>3271</v>
      </c>
      <c r="E315" s="4" t="s">
        <v>2319</v>
      </c>
      <c r="F315" s="4" t="s">
        <v>2002</v>
      </c>
      <c r="G315" s="4" t="s">
        <v>48</v>
      </c>
      <c r="H315" s="4" t="s">
        <v>1939</v>
      </c>
      <c r="I315" s="4" t="s">
        <v>1969</v>
      </c>
      <c r="J315" s="4" t="s">
        <v>70</v>
      </c>
      <c r="K315" s="4" t="s">
        <v>2144</v>
      </c>
    </row>
    <row r="316" spans="1:11" x14ac:dyDescent="0.2">
      <c r="A316" s="4" t="s">
        <v>3272</v>
      </c>
      <c r="B316" s="4" t="s">
        <v>1756</v>
      </c>
      <c r="C316" s="4" t="s">
        <v>3273</v>
      </c>
      <c r="D316" s="4" t="s">
        <v>3274</v>
      </c>
      <c r="E316" s="4" t="s">
        <v>3275</v>
      </c>
      <c r="F316" s="4" t="s">
        <v>2198</v>
      </c>
      <c r="G316" s="4" t="s">
        <v>50</v>
      </c>
      <c r="H316" s="4" t="s">
        <v>1939</v>
      </c>
      <c r="I316" s="4" t="s">
        <v>1969</v>
      </c>
      <c r="J316" s="4" t="s">
        <v>72</v>
      </c>
      <c r="K316" s="4" t="s">
        <v>2894</v>
      </c>
    </row>
    <row r="317" spans="1:11" x14ac:dyDescent="0.2">
      <c r="A317" s="4" t="s">
        <v>3276</v>
      </c>
      <c r="B317" s="4" t="s">
        <v>1562</v>
      </c>
      <c r="C317" s="4" t="s">
        <v>3277</v>
      </c>
      <c r="D317" s="4" t="s">
        <v>3278</v>
      </c>
      <c r="E317" s="4" t="s">
        <v>3279</v>
      </c>
      <c r="F317" s="4" t="s">
        <v>2128</v>
      </c>
      <c r="G317" s="4" t="s">
        <v>50</v>
      </c>
      <c r="H317" s="4" t="s">
        <v>2057</v>
      </c>
      <c r="I317" s="4" t="s">
        <v>1969</v>
      </c>
      <c r="J317" s="4" t="s">
        <v>72</v>
      </c>
      <c r="K317" s="4" t="s">
        <v>2038</v>
      </c>
    </row>
    <row r="318" spans="1:11" x14ac:dyDescent="0.2">
      <c r="A318" s="4" t="s">
        <v>3280</v>
      </c>
      <c r="B318" s="4" t="s">
        <v>1684</v>
      </c>
      <c r="C318" s="4" t="s">
        <v>2533</v>
      </c>
      <c r="D318" s="4" t="s">
        <v>3281</v>
      </c>
      <c r="E318" s="4" t="s">
        <v>3282</v>
      </c>
      <c r="F318" s="4" t="s">
        <v>2193</v>
      </c>
      <c r="G318" s="4" t="s">
        <v>48</v>
      </c>
      <c r="H318" s="4" t="s">
        <v>1939</v>
      </c>
      <c r="I318" s="4" t="s">
        <v>1969</v>
      </c>
      <c r="J318" s="4" t="s">
        <v>72</v>
      </c>
      <c r="K318" s="4" t="s">
        <v>3283</v>
      </c>
    </row>
    <row r="319" spans="1:11" x14ac:dyDescent="0.2">
      <c r="A319" s="4" t="s">
        <v>3284</v>
      </c>
      <c r="B319" s="4" t="s">
        <v>1916</v>
      </c>
      <c r="C319" s="4" t="s">
        <v>2966</v>
      </c>
      <c r="D319" s="4" t="s">
        <v>3285</v>
      </c>
      <c r="E319" s="4" t="s">
        <v>3286</v>
      </c>
      <c r="F319" s="4" t="s">
        <v>2018</v>
      </c>
      <c r="G319" s="4" t="s">
        <v>48</v>
      </c>
      <c r="H319" s="4" t="s">
        <v>1939</v>
      </c>
      <c r="I319" s="4" t="s">
        <v>1959</v>
      </c>
      <c r="J319" s="4" t="s">
        <v>72</v>
      </c>
      <c r="K319" s="4" t="s">
        <v>2832</v>
      </c>
    </row>
    <row r="320" spans="1:11" x14ac:dyDescent="0.2">
      <c r="A320" s="4" t="s">
        <v>3287</v>
      </c>
      <c r="B320" s="4" t="s">
        <v>1840</v>
      </c>
      <c r="C320" s="4" t="s">
        <v>2939</v>
      </c>
      <c r="D320" s="4" t="s">
        <v>3288</v>
      </c>
      <c r="E320" s="4" t="s">
        <v>1519</v>
      </c>
      <c r="F320" s="4" t="s">
        <v>2032</v>
      </c>
      <c r="G320" s="4" t="s">
        <v>50</v>
      </c>
      <c r="H320" s="4" t="s">
        <v>2057</v>
      </c>
      <c r="I320" s="4" t="s">
        <v>1940</v>
      </c>
      <c r="J320" s="4" t="s">
        <v>70</v>
      </c>
      <c r="K320" s="4" t="s">
        <v>2802</v>
      </c>
    </row>
    <row r="321" spans="1:11" x14ac:dyDescent="0.2">
      <c r="A321" s="4" t="s">
        <v>3289</v>
      </c>
      <c r="B321" s="4" t="s">
        <v>1852</v>
      </c>
      <c r="C321" s="4" t="s">
        <v>3171</v>
      </c>
      <c r="D321" s="4" t="s">
        <v>3290</v>
      </c>
      <c r="E321" s="4" t="s">
        <v>3291</v>
      </c>
      <c r="F321" s="4" t="s">
        <v>2217</v>
      </c>
      <c r="G321" s="4" t="s">
        <v>49</v>
      </c>
      <c r="H321" s="4" t="s">
        <v>1939</v>
      </c>
      <c r="I321" s="4" t="s">
        <v>1959</v>
      </c>
      <c r="J321" s="4" t="s">
        <v>72</v>
      </c>
      <c r="K321" s="4" t="s">
        <v>2139</v>
      </c>
    </row>
    <row r="322" spans="1:11" x14ac:dyDescent="0.2">
      <c r="A322" s="4" t="s">
        <v>3292</v>
      </c>
      <c r="B322" s="4" t="s">
        <v>1840</v>
      </c>
      <c r="C322" s="4" t="s">
        <v>2939</v>
      </c>
      <c r="D322" s="4" t="s">
        <v>3293</v>
      </c>
      <c r="E322" s="4" t="s">
        <v>3294</v>
      </c>
      <c r="F322" s="4" t="s">
        <v>1975</v>
      </c>
      <c r="G322" s="4" t="s">
        <v>49</v>
      </c>
      <c r="H322" s="4" t="s">
        <v>1939</v>
      </c>
      <c r="I322" s="4" t="s">
        <v>1997</v>
      </c>
      <c r="J322" s="4" t="s">
        <v>70</v>
      </c>
      <c r="K322" s="4" t="s">
        <v>3295</v>
      </c>
    </row>
    <row r="323" spans="1:11" x14ac:dyDescent="0.2">
      <c r="A323" s="4" t="s">
        <v>3296</v>
      </c>
      <c r="B323" s="4" t="s">
        <v>1848</v>
      </c>
      <c r="C323" s="4" t="s">
        <v>3297</v>
      </c>
      <c r="D323" s="4" t="s">
        <v>3298</v>
      </c>
      <c r="E323" s="4" t="s">
        <v>3299</v>
      </c>
      <c r="F323" s="4" t="s">
        <v>2193</v>
      </c>
      <c r="G323" s="4" t="s">
        <v>48</v>
      </c>
      <c r="H323" s="4" t="s">
        <v>1939</v>
      </c>
      <c r="I323" s="4" t="s">
        <v>1969</v>
      </c>
      <c r="J323" s="4" t="s">
        <v>72</v>
      </c>
      <c r="K323" s="4" t="s">
        <v>3300</v>
      </c>
    </row>
    <row r="324" spans="1:11" x14ac:dyDescent="0.2">
      <c r="A324" s="4" t="s">
        <v>3301</v>
      </c>
      <c r="B324" s="4" t="s">
        <v>1920</v>
      </c>
      <c r="C324" s="4" t="s">
        <v>2868</v>
      </c>
      <c r="D324" s="4" t="s">
        <v>3302</v>
      </c>
      <c r="E324" s="4" t="s">
        <v>3303</v>
      </c>
      <c r="F324" s="4" t="s">
        <v>2043</v>
      </c>
      <c r="G324" s="4" t="s">
        <v>49</v>
      </c>
      <c r="H324" s="4" t="s">
        <v>1939</v>
      </c>
      <c r="I324" s="4" t="s">
        <v>1940</v>
      </c>
      <c r="J324" s="4" t="s">
        <v>72</v>
      </c>
      <c r="K324" s="4" t="s">
        <v>2003</v>
      </c>
    </row>
    <row r="325" spans="1:11" x14ac:dyDescent="0.2">
      <c r="A325" s="4" t="s">
        <v>3304</v>
      </c>
      <c r="B325" s="4" t="s">
        <v>1576</v>
      </c>
      <c r="C325" s="4" t="s">
        <v>3305</v>
      </c>
      <c r="D325" s="4" t="s">
        <v>3306</v>
      </c>
      <c r="E325" s="4" t="s">
        <v>3307</v>
      </c>
      <c r="F325" s="4" t="s">
        <v>2043</v>
      </c>
      <c r="G325" s="4" t="s">
        <v>48</v>
      </c>
      <c r="H325" s="4" t="s">
        <v>1939</v>
      </c>
      <c r="I325" s="4" t="s">
        <v>1959</v>
      </c>
      <c r="J325" s="4" t="s">
        <v>70</v>
      </c>
      <c r="K325" s="4" t="s">
        <v>3308</v>
      </c>
    </row>
    <row r="326" spans="1:11" x14ac:dyDescent="0.2">
      <c r="A326" s="4" t="s">
        <v>3309</v>
      </c>
      <c r="B326" s="4" t="s">
        <v>1828</v>
      </c>
      <c r="C326" s="4" t="s">
        <v>2943</v>
      </c>
      <c r="D326" s="4" t="s">
        <v>3310</v>
      </c>
      <c r="E326" s="4" t="s">
        <v>3311</v>
      </c>
      <c r="F326" s="4" t="s">
        <v>2367</v>
      </c>
      <c r="G326" s="4" t="s">
        <v>48</v>
      </c>
      <c r="H326" s="4" t="s">
        <v>1939</v>
      </c>
      <c r="I326" s="4" t="s">
        <v>1940</v>
      </c>
      <c r="J326" s="4" t="s">
        <v>70</v>
      </c>
      <c r="K326" s="4" t="s">
        <v>3312</v>
      </c>
    </row>
    <row r="327" spans="1:11" x14ac:dyDescent="0.2">
      <c r="A327" s="4" t="s">
        <v>3313</v>
      </c>
      <c r="B327" s="4" t="s">
        <v>1916</v>
      </c>
      <c r="C327" s="4" t="s">
        <v>3121</v>
      </c>
      <c r="D327" s="4" t="s">
        <v>3314</v>
      </c>
      <c r="E327" s="4" t="s">
        <v>3315</v>
      </c>
      <c r="F327" s="4" t="s">
        <v>2198</v>
      </c>
      <c r="G327" s="4" t="s">
        <v>48</v>
      </c>
      <c r="H327" s="4" t="s">
        <v>1939</v>
      </c>
      <c r="I327" s="4" t="s">
        <v>1969</v>
      </c>
      <c r="J327" s="4" t="s">
        <v>69</v>
      </c>
      <c r="K327" s="4" t="s">
        <v>3009</v>
      </c>
    </row>
    <row r="328" spans="1:11" x14ac:dyDescent="0.2">
      <c r="A328" s="4" t="s">
        <v>3316</v>
      </c>
      <c r="B328" s="4" t="s">
        <v>1705</v>
      </c>
      <c r="C328" s="4" t="s">
        <v>2382</v>
      </c>
      <c r="D328" s="4" t="s">
        <v>3317</v>
      </c>
      <c r="E328" s="4" t="s">
        <v>3185</v>
      </c>
      <c r="F328" s="4" t="s">
        <v>2159</v>
      </c>
      <c r="G328" s="4" t="s">
        <v>49</v>
      </c>
      <c r="H328" s="4" t="s">
        <v>1939</v>
      </c>
      <c r="I328" s="4" t="s">
        <v>1940</v>
      </c>
      <c r="J328" s="4" t="s">
        <v>69</v>
      </c>
      <c r="K328" s="4" t="s">
        <v>2038</v>
      </c>
    </row>
    <row r="329" spans="1:11" x14ac:dyDescent="0.2">
      <c r="A329" s="4" t="s">
        <v>3318</v>
      </c>
      <c r="B329" s="4" t="s">
        <v>1852</v>
      </c>
      <c r="C329" s="4" t="s">
        <v>3171</v>
      </c>
      <c r="D329" s="4" t="s">
        <v>3319</v>
      </c>
      <c r="E329" s="4" t="s">
        <v>1669</v>
      </c>
      <c r="F329" s="4" t="s">
        <v>1958</v>
      </c>
      <c r="G329" s="4" t="s">
        <v>49</v>
      </c>
      <c r="H329" s="4" t="s">
        <v>1939</v>
      </c>
      <c r="I329" s="4" t="s">
        <v>1959</v>
      </c>
      <c r="J329" s="4" t="s">
        <v>72</v>
      </c>
      <c r="K329" s="4" t="s">
        <v>3320</v>
      </c>
    </row>
    <row r="330" spans="1:11" x14ac:dyDescent="0.2">
      <c r="A330" s="4" t="s">
        <v>3321</v>
      </c>
      <c r="B330" s="4" t="s">
        <v>1713</v>
      </c>
      <c r="C330" s="4" t="s">
        <v>2555</v>
      </c>
      <c r="D330" s="4" t="s">
        <v>3322</v>
      </c>
      <c r="E330" s="4" t="s">
        <v>3323</v>
      </c>
      <c r="F330" s="4" t="s">
        <v>2002</v>
      </c>
      <c r="G330" s="4" t="s">
        <v>49</v>
      </c>
      <c r="H330" s="4" t="s">
        <v>1939</v>
      </c>
      <c r="I330" s="4" t="s">
        <v>1959</v>
      </c>
      <c r="J330" s="4" t="s">
        <v>69</v>
      </c>
      <c r="K330" s="4" t="s">
        <v>2788</v>
      </c>
    </row>
    <row r="331" spans="1:11" x14ac:dyDescent="0.2">
      <c r="A331" s="4" t="s">
        <v>3324</v>
      </c>
      <c r="B331" s="4" t="s">
        <v>1643</v>
      </c>
      <c r="C331" s="4" t="s">
        <v>2205</v>
      </c>
      <c r="D331" s="4" t="s">
        <v>3325</v>
      </c>
      <c r="E331" s="4" t="s">
        <v>3326</v>
      </c>
      <c r="F331" s="4" t="s">
        <v>2367</v>
      </c>
      <c r="G331" s="4" t="s">
        <v>48</v>
      </c>
      <c r="H331" s="4" t="s">
        <v>1939</v>
      </c>
      <c r="I331" s="4" t="s">
        <v>1997</v>
      </c>
      <c r="J331" s="4" t="s">
        <v>70</v>
      </c>
      <c r="K331" s="4" t="s">
        <v>3327</v>
      </c>
    </row>
    <row r="332" spans="1:11" x14ac:dyDescent="0.2">
      <c r="A332" s="4" t="s">
        <v>3328</v>
      </c>
      <c r="B332" s="4" t="s">
        <v>1615</v>
      </c>
      <c r="C332" s="4" t="s">
        <v>2307</v>
      </c>
      <c r="D332" s="4" t="s">
        <v>3329</v>
      </c>
      <c r="E332" s="4" t="s">
        <v>3330</v>
      </c>
      <c r="F332" s="4" t="s">
        <v>2159</v>
      </c>
      <c r="G332" s="4" t="s">
        <v>48</v>
      </c>
      <c r="H332" s="4" t="s">
        <v>1939</v>
      </c>
      <c r="I332" s="4" t="s">
        <v>1969</v>
      </c>
      <c r="J332" s="4" t="s">
        <v>69</v>
      </c>
      <c r="K332" s="4" t="s">
        <v>3331</v>
      </c>
    </row>
    <row r="333" spans="1:11" x14ac:dyDescent="0.2">
      <c r="A333" s="4" t="s">
        <v>3332</v>
      </c>
      <c r="B333" s="4" t="s">
        <v>1742</v>
      </c>
      <c r="C333" s="4" t="s">
        <v>2185</v>
      </c>
      <c r="D333" s="4" t="s">
        <v>3333</v>
      </c>
      <c r="E333" s="4" t="s">
        <v>3334</v>
      </c>
      <c r="F333" s="4" t="s">
        <v>1952</v>
      </c>
      <c r="G333" s="4" t="s">
        <v>48</v>
      </c>
      <c r="H333" s="4" t="s">
        <v>1939</v>
      </c>
      <c r="I333" s="4" t="s">
        <v>1940</v>
      </c>
      <c r="J333" s="4" t="s">
        <v>72</v>
      </c>
      <c r="K333" s="4" t="s">
        <v>3335</v>
      </c>
    </row>
    <row r="334" spans="1:11" x14ac:dyDescent="0.2">
      <c r="A334" s="4" t="s">
        <v>3336</v>
      </c>
      <c r="B334" s="4" t="s">
        <v>1887</v>
      </c>
      <c r="C334" s="4" t="s">
        <v>3337</v>
      </c>
      <c r="D334" s="4" t="s">
        <v>3338</v>
      </c>
      <c r="E334" s="4" t="s">
        <v>3339</v>
      </c>
      <c r="F334" s="4" t="s">
        <v>2128</v>
      </c>
      <c r="G334" s="4" t="s">
        <v>48</v>
      </c>
      <c r="H334" s="4" t="s">
        <v>1939</v>
      </c>
      <c r="I334" s="4" t="s">
        <v>1969</v>
      </c>
      <c r="J334" s="4" t="s">
        <v>69</v>
      </c>
      <c r="K334" s="4" t="s">
        <v>3340</v>
      </c>
    </row>
    <row r="335" spans="1:11" x14ac:dyDescent="0.2">
      <c r="A335" s="4" t="s">
        <v>3341</v>
      </c>
      <c r="B335" s="4" t="s">
        <v>1572</v>
      </c>
      <c r="C335" s="4" t="s">
        <v>2387</v>
      </c>
      <c r="D335" s="4" t="s">
        <v>3342</v>
      </c>
      <c r="E335" s="4" t="s">
        <v>2328</v>
      </c>
      <c r="F335" s="4" t="s">
        <v>1964</v>
      </c>
      <c r="G335" s="4" t="s">
        <v>49</v>
      </c>
      <c r="H335" s="4" t="s">
        <v>1939</v>
      </c>
      <c r="I335" s="4" t="s">
        <v>1959</v>
      </c>
      <c r="J335" s="4" t="s">
        <v>69</v>
      </c>
      <c r="K335" s="4" t="s">
        <v>3343</v>
      </c>
    </row>
    <row r="336" spans="1:11" x14ac:dyDescent="0.2">
      <c r="A336" s="4" t="s">
        <v>3344</v>
      </c>
      <c r="B336" s="4" t="s">
        <v>1794</v>
      </c>
      <c r="C336" s="4" t="s">
        <v>3345</v>
      </c>
      <c r="D336" s="4" t="s">
        <v>3346</v>
      </c>
      <c r="E336" s="4" t="s">
        <v>3347</v>
      </c>
      <c r="F336" s="4" t="s">
        <v>1992</v>
      </c>
      <c r="G336" s="4" t="s">
        <v>48</v>
      </c>
      <c r="H336" s="4" t="s">
        <v>1939</v>
      </c>
      <c r="I336" s="4" t="s">
        <v>1940</v>
      </c>
      <c r="J336" s="4" t="s">
        <v>70</v>
      </c>
      <c r="K336" s="4" t="s">
        <v>3348</v>
      </c>
    </row>
    <row r="337" spans="1:11" x14ac:dyDescent="0.2">
      <c r="A337" s="4" t="s">
        <v>3349</v>
      </c>
      <c r="B337" s="4" t="s">
        <v>1572</v>
      </c>
      <c r="C337" s="4" t="s">
        <v>2387</v>
      </c>
      <c r="D337" s="4" t="s">
        <v>3350</v>
      </c>
      <c r="E337" s="4" t="s">
        <v>3351</v>
      </c>
      <c r="F337" s="4" t="s">
        <v>1938</v>
      </c>
      <c r="G337" s="4" t="s">
        <v>48</v>
      </c>
      <c r="H337" s="4" t="s">
        <v>1939</v>
      </c>
      <c r="I337" s="4" t="s">
        <v>1940</v>
      </c>
      <c r="J337" s="4" t="s">
        <v>72</v>
      </c>
      <c r="K337" s="4" t="s">
        <v>3352</v>
      </c>
    </row>
    <row r="338" spans="1:11" x14ac:dyDescent="0.2">
      <c r="A338" s="4" t="s">
        <v>3353</v>
      </c>
      <c r="B338" s="4" t="s">
        <v>1879</v>
      </c>
      <c r="C338" s="4" t="s">
        <v>2094</v>
      </c>
      <c r="D338" s="4" t="s">
        <v>3354</v>
      </c>
      <c r="E338" s="4" t="s">
        <v>3355</v>
      </c>
      <c r="F338" s="4" t="s">
        <v>2032</v>
      </c>
      <c r="G338" s="4" t="s">
        <v>49</v>
      </c>
      <c r="H338" s="4" t="s">
        <v>1939</v>
      </c>
      <c r="I338" s="4" t="s">
        <v>1940</v>
      </c>
      <c r="J338" s="4" t="s">
        <v>70</v>
      </c>
      <c r="K338" s="4" t="s">
        <v>3356</v>
      </c>
    </row>
    <row r="339" spans="1:11" x14ac:dyDescent="0.2">
      <c r="A339" s="4" t="s">
        <v>3357</v>
      </c>
      <c r="B339" s="4" t="s">
        <v>1879</v>
      </c>
      <c r="C339" s="4" t="s">
        <v>3358</v>
      </c>
      <c r="D339" s="4" t="s">
        <v>3359</v>
      </c>
      <c r="E339" s="4" t="s">
        <v>3360</v>
      </c>
      <c r="F339" s="4" t="s">
        <v>1946</v>
      </c>
      <c r="G339" s="4" t="s">
        <v>48</v>
      </c>
      <c r="H339" s="4" t="s">
        <v>1939</v>
      </c>
      <c r="I339" s="4" t="s">
        <v>1997</v>
      </c>
      <c r="J339" s="4" t="s">
        <v>70</v>
      </c>
      <c r="K339" s="4" t="s">
        <v>2301</v>
      </c>
    </row>
    <row r="340" spans="1:11" x14ac:dyDescent="0.2">
      <c r="A340" s="4" t="s">
        <v>3361</v>
      </c>
      <c r="B340" s="4" t="s">
        <v>1879</v>
      </c>
      <c r="C340" s="4" t="s">
        <v>3362</v>
      </c>
      <c r="D340" s="4" t="s">
        <v>3363</v>
      </c>
      <c r="E340" s="4" t="s">
        <v>3364</v>
      </c>
      <c r="F340" s="4" t="s">
        <v>1975</v>
      </c>
      <c r="G340" s="4" t="s">
        <v>49</v>
      </c>
      <c r="H340" s="4" t="s">
        <v>1939</v>
      </c>
      <c r="I340" s="4" t="s">
        <v>1969</v>
      </c>
      <c r="J340" s="4" t="s">
        <v>69</v>
      </c>
      <c r="K340" s="4" t="s">
        <v>3365</v>
      </c>
    </row>
    <row r="341" spans="1:11" x14ac:dyDescent="0.2">
      <c r="A341" s="4" t="s">
        <v>3366</v>
      </c>
      <c r="B341" s="4" t="s">
        <v>1677</v>
      </c>
      <c r="C341" s="4" t="s">
        <v>3367</v>
      </c>
      <c r="D341" s="4" t="s">
        <v>3368</v>
      </c>
      <c r="E341" s="4" t="s">
        <v>3369</v>
      </c>
      <c r="F341" s="4" t="s">
        <v>1946</v>
      </c>
      <c r="G341" s="4" t="s">
        <v>49</v>
      </c>
      <c r="H341" s="4" t="s">
        <v>1939</v>
      </c>
      <c r="I341" s="4" t="s">
        <v>1997</v>
      </c>
      <c r="J341" s="4" t="s">
        <v>72</v>
      </c>
      <c r="K341" s="4" t="s">
        <v>3370</v>
      </c>
    </row>
    <row r="342" spans="1:11" x14ac:dyDescent="0.2">
      <c r="A342" s="4" t="s">
        <v>3371</v>
      </c>
      <c r="B342" s="4" t="s">
        <v>1583</v>
      </c>
      <c r="C342" s="4" t="s">
        <v>3372</v>
      </c>
      <c r="D342" s="4" t="s">
        <v>3373</v>
      </c>
      <c r="E342" s="4" t="s">
        <v>2535</v>
      </c>
      <c r="F342" s="4" t="s">
        <v>2018</v>
      </c>
      <c r="G342" s="4" t="s">
        <v>49</v>
      </c>
      <c r="H342" s="4" t="s">
        <v>1939</v>
      </c>
      <c r="I342" s="4" t="s">
        <v>1969</v>
      </c>
      <c r="J342" s="4" t="s">
        <v>70</v>
      </c>
      <c r="K342" s="4" t="s">
        <v>3374</v>
      </c>
    </row>
    <row r="343" spans="1:11" x14ac:dyDescent="0.2">
      <c r="A343" s="4" t="s">
        <v>3375</v>
      </c>
      <c r="B343" s="4" t="s">
        <v>1655</v>
      </c>
      <c r="C343" s="4" t="s">
        <v>3128</v>
      </c>
      <c r="D343" s="4" t="s">
        <v>3376</v>
      </c>
      <c r="E343" s="4" t="s">
        <v>1606</v>
      </c>
      <c r="F343" s="4" t="s">
        <v>2128</v>
      </c>
      <c r="G343" s="4" t="s">
        <v>48</v>
      </c>
      <c r="H343" s="4" t="s">
        <v>1939</v>
      </c>
      <c r="I343" s="4" t="s">
        <v>1969</v>
      </c>
      <c r="J343" s="4" t="s">
        <v>70</v>
      </c>
      <c r="K343" s="4" t="s">
        <v>2049</v>
      </c>
    </row>
    <row r="344" spans="1:11" x14ac:dyDescent="0.2">
      <c r="A344" s="4" t="s">
        <v>3377</v>
      </c>
      <c r="B344" s="4" t="s">
        <v>1539</v>
      </c>
      <c r="C344" s="4" t="s">
        <v>3378</v>
      </c>
      <c r="D344" s="4" t="s">
        <v>3379</v>
      </c>
      <c r="E344" s="4" t="s">
        <v>3380</v>
      </c>
      <c r="F344" s="4" t="s">
        <v>1952</v>
      </c>
      <c r="G344" s="4" t="s">
        <v>48</v>
      </c>
      <c r="H344" s="4" t="s">
        <v>1939</v>
      </c>
      <c r="I344" s="4" t="s">
        <v>1997</v>
      </c>
      <c r="J344" s="4" t="s">
        <v>70</v>
      </c>
      <c r="K344" s="4" t="s">
        <v>3381</v>
      </c>
    </row>
    <row r="345" spans="1:11" x14ac:dyDescent="0.2">
      <c r="A345" s="4" t="s">
        <v>3382</v>
      </c>
      <c r="B345" s="4" t="s">
        <v>1812</v>
      </c>
      <c r="C345" s="4" t="s">
        <v>3383</v>
      </c>
      <c r="D345" s="4" t="s">
        <v>3384</v>
      </c>
      <c r="E345" s="4" t="s">
        <v>3385</v>
      </c>
      <c r="F345" s="4" t="s">
        <v>2002</v>
      </c>
      <c r="G345" s="4" t="s">
        <v>48</v>
      </c>
      <c r="H345" s="4" t="s">
        <v>1939</v>
      </c>
      <c r="I345" s="4" t="s">
        <v>1997</v>
      </c>
      <c r="J345" s="4" t="s">
        <v>69</v>
      </c>
      <c r="K345" s="4" t="s">
        <v>2488</v>
      </c>
    </row>
    <row r="346" spans="1:11" x14ac:dyDescent="0.2">
      <c r="A346" s="4" t="s">
        <v>3386</v>
      </c>
      <c r="B346" s="4" t="s">
        <v>1557</v>
      </c>
      <c r="C346" s="4" t="s">
        <v>3040</v>
      </c>
      <c r="D346" s="4" t="s">
        <v>3387</v>
      </c>
      <c r="E346" s="4" t="s">
        <v>2112</v>
      </c>
      <c r="F346" s="4" t="s">
        <v>2032</v>
      </c>
      <c r="G346" s="4" t="s">
        <v>48</v>
      </c>
      <c r="H346" s="4" t="s">
        <v>1939</v>
      </c>
      <c r="I346" s="4" t="s">
        <v>1940</v>
      </c>
      <c r="J346" s="4" t="s">
        <v>69</v>
      </c>
      <c r="K346" s="4" t="s">
        <v>2544</v>
      </c>
    </row>
    <row r="347" spans="1:11" x14ac:dyDescent="0.2">
      <c r="A347" s="4" t="s">
        <v>3388</v>
      </c>
      <c r="B347" s="4" t="s">
        <v>1790</v>
      </c>
      <c r="C347" s="4" t="s">
        <v>3389</v>
      </c>
      <c r="D347" s="4" t="s">
        <v>3390</v>
      </c>
      <c r="E347" s="4" t="s">
        <v>1614</v>
      </c>
      <c r="F347" s="4" t="s">
        <v>1952</v>
      </c>
      <c r="G347" s="4" t="s">
        <v>50</v>
      </c>
      <c r="H347" s="4" t="s">
        <v>2057</v>
      </c>
      <c r="I347" s="4" t="s">
        <v>1997</v>
      </c>
      <c r="J347" s="4" t="s">
        <v>70</v>
      </c>
      <c r="K347" s="4" t="s">
        <v>2760</v>
      </c>
    </row>
    <row r="348" spans="1:11" x14ac:dyDescent="0.2">
      <c r="A348" s="4" t="s">
        <v>3391</v>
      </c>
      <c r="B348" s="4" t="s">
        <v>1875</v>
      </c>
      <c r="C348" s="4" t="s">
        <v>2240</v>
      </c>
      <c r="D348" s="4" t="s">
        <v>3392</v>
      </c>
      <c r="E348" s="4" t="s">
        <v>1781</v>
      </c>
      <c r="F348" s="4" t="s">
        <v>2032</v>
      </c>
      <c r="G348" s="4" t="s">
        <v>48</v>
      </c>
      <c r="H348" s="4" t="s">
        <v>1939</v>
      </c>
      <c r="I348" s="4" t="s">
        <v>1969</v>
      </c>
      <c r="J348" s="4" t="s">
        <v>72</v>
      </c>
      <c r="K348" s="4" t="s">
        <v>2346</v>
      </c>
    </row>
    <row r="349" spans="1:11" x14ac:dyDescent="0.2">
      <c r="A349" s="4" t="s">
        <v>3393</v>
      </c>
      <c r="B349" s="4" t="s">
        <v>1844</v>
      </c>
      <c r="C349" s="4" t="s">
        <v>3394</v>
      </c>
      <c r="D349" s="4" t="s">
        <v>3395</v>
      </c>
      <c r="E349" s="4" t="s">
        <v>3396</v>
      </c>
      <c r="F349" s="4" t="s">
        <v>1952</v>
      </c>
      <c r="G349" s="4" t="s">
        <v>48</v>
      </c>
      <c r="H349" s="4" t="s">
        <v>1939</v>
      </c>
      <c r="I349" s="4" t="s">
        <v>1940</v>
      </c>
      <c r="J349" s="4" t="s">
        <v>72</v>
      </c>
      <c r="K349" s="4" t="s">
        <v>3397</v>
      </c>
    </row>
    <row r="350" spans="1:11" x14ac:dyDescent="0.2">
      <c r="A350" s="4" t="s">
        <v>3398</v>
      </c>
      <c r="B350" s="4" t="s">
        <v>1531</v>
      </c>
      <c r="C350" s="4" t="s">
        <v>3073</v>
      </c>
      <c r="D350" s="4" t="s">
        <v>3399</v>
      </c>
      <c r="E350" s="4" t="s">
        <v>3400</v>
      </c>
      <c r="F350" s="4" t="s">
        <v>1958</v>
      </c>
      <c r="G350" s="4" t="s">
        <v>48</v>
      </c>
      <c r="H350" s="4" t="s">
        <v>1939</v>
      </c>
      <c r="I350" s="4" t="s">
        <v>1997</v>
      </c>
      <c r="J350" s="4" t="s">
        <v>70</v>
      </c>
      <c r="K350" s="4" t="s">
        <v>3401</v>
      </c>
    </row>
    <row r="351" spans="1:11" x14ac:dyDescent="0.2">
      <c r="A351" s="4" t="s">
        <v>3402</v>
      </c>
      <c r="B351" s="4" t="s">
        <v>1666</v>
      </c>
      <c r="C351" s="4" t="s">
        <v>3403</v>
      </c>
      <c r="D351" s="4" t="s">
        <v>3404</v>
      </c>
      <c r="E351" s="4" t="s">
        <v>2250</v>
      </c>
      <c r="F351" s="4" t="s">
        <v>1952</v>
      </c>
      <c r="G351" s="4" t="s">
        <v>49</v>
      </c>
      <c r="H351" s="4" t="s">
        <v>1939</v>
      </c>
      <c r="I351" s="4" t="s">
        <v>1969</v>
      </c>
      <c r="J351" s="4" t="s">
        <v>69</v>
      </c>
      <c r="K351" s="4" t="s">
        <v>2144</v>
      </c>
    </row>
    <row r="352" spans="1:11" x14ac:dyDescent="0.2">
      <c r="A352" s="4" t="s">
        <v>3405</v>
      </c>
      <c r="B352" s="4" t="s">
        <v>1887</v>
      </c>
      <c r="C352" s="4" t="s">
        <v>2702</v>
      </c>
      <c r="D352" s="4" t="s">
        <v>3406</v>
      </c>
      <c r="E352" s="4" t="s">
        <v>2656</v>
      </c>
      <c r="F352" s="4" t="s">
        <v>1958</v>
      </c>
      <c r="G352" s="4" t="s">
        <v>49</v>
      </c>
      <c r="H352" s="4" t="s">
        <v>1939</v>
      </c>
      <c r="I352" s="4" t="s">
        <v>1940</v>
      </c>
      <c r="J352" s="4" t="s">
        <v>69</v>
      </c>
      <c r="K352" s="4" t="s">
        <v>3407</v>
      </c>
    </row>
    <row r="353" spans="1:11" x14ac:dyDescent="0.2">
      <c r="A353" s="4" t="s">
        <v>3408</v>
      </c>
      <c r="B353" s="4" t="s">
        <v>1749</v>
      </c>
      <c r="C353" s="4" t="s">
        <v>2446</v>
      </c>
      <c r="D353" s="4" t="s">
        <v>3409</v>
      </c>
      <c r="E353" s="4" t="s">
        <v>1811</v>
      </c>
      <c r="F353" s="4" t="s">
        <v>2217</v>
      </c>
      <c r="G353" s="4" t="s">
        <v>50</v>
      </c>
      <c r="H353" s="4" t="s">
        <v>2057</v>
      </c>
      <c r="I353" s="4" t="s">
        <v>1997</v>
      </c>
      <c r="J353" s="4" t="s">
        <v>69</v>
      </c>
      <c r="K353" s="4" t="s">
        <v>3331</v>
      </c>
    </row>
    <row r="354" spans="1:11" x14ac:dyDescent="0.2">
      <c r="A354" s="4" t="s">
        <v>3410</v>
      </c>
      <c r="B354" s="4" t="s">
        <v>1531</v>
      </c>
      <c r="C354" s="4" t="s">
        <v>2079</v>
      </c>
      <c r="D354" s="4" t="s">
        <v>2616</v>
      </c>
      <c r="E354" s="4" t="s">
        <v>3411</v>
      </c>
      <c r="F354" s="4" t="s">
        <v>2128</v>
      </c>
      <c r="G354" s="4" t="s">
        <v>50</v>
      </c>
      <c r="H354" s="4" t="s">
        <v>1939</v>
      </c>
      <c r="I354" s="4" t="s">
        <v>1959</v>
      </c>
      <c r="J354" s="4" t="s">
        <v>70</v>
      </c>
      <c r="K354" s="4" t="s">
        <v>3412</v>
      </c>
    </row>
    <row r="355" spans="1:11" x14ac:dyDescent="0.2">
      <c r="A355" s="4" t="s">
        <v>3413</v>
      </c>
      <c r="B355" s="4" t="s">
        <v>1604</v>
      </c>
      <c r="C355" s="4" t="s">
        <v>3414</v>
      </c>
      <c r="D355" s="4" t="s">
        <v>3415</v>
      </c>
      <c r="E355" s="4" t="s">
        <v>3416</v>
      </c>
      <c r="F355" s="4" t="s">
        <v>2032</v>
      </c>
      <c r="G355" s="4" t="s">
        <v>49</v>
      </c>
      <c r="H355" s="4" t="s">
        <v>1939</v>
      </c>
      <c r="I355" s="4" t="s">
        <v>1940</v>
      </c>
      <c r="J355" s="4" t="s">
        <v>72</v>
      </c>
      <c r="K355" s="4" t="s">
        <v>3417</v>
      </c>
    </row>
    <row r="356" spans="1:11" x14ac:dyDescent="0.2">
      <c r="A356" s="4" t="s">
        <v>3418</v>
      </c>
      <c r="B356" s="4" t="s">
        <v>1844</v>
      </c>
      <c r="C356" s="4" t="s">
        <v>3394</v>
      </c>
      <c r="D356" s="4" t="s">
        <v>3419</v>
      </c>
      <c r="E356" s="4" t="s">
        <v>2756</v>
      </c>
      <c r="F356" s="4" t="s">
        <v>2002</v>
      </c>
      <c r="G356" s="4" t="s">
        <v>50</v>
      </c>
      <c r="H356" s="4" t="s">
        <v>2057</v>
      </c>
      <c r="I356" s="4" t="s">
        <v>1959</v>
      </c>
      <c r="J356" s="4" t="s">
        <v>68</v>
      </c>
      <c r="K356" s="4" t="s">
        <v>3420</v>
      </c>
    </row>
    <row r="357" spans="1:11" x14ac:dyDescent="0.2">
      <c r="A357" s="4" t="s">
        <v>3421</v>
      </c>
      <c r="B357" s="4" t="s">
        <v>1695</v>
      </c>
      <c r="C357" s="4" t="s">
        <v>2475</v>
      </c>
      <c r="D357" s="4" t="s">
        <v>3422</v>
      </c>
      <c r="E357" s="4" t="s">
        <v>3423</v>
      </c>
      <c r="F357" s="4" t="s">
        <v>2128</v>
      </c>
      <c r="G357" s="4" t="s">
        <v>48</v>
      </c>
      <c r="H357" s="4" t="s">
        <v>1939</v>
      </c>
      <c r="I357" s="4" t="s">
        <v>1959</v>
      </c>
      <c r="J357" s="4" t="s">
        <v>70</v>
      </c>
      <c r="K357" s="4" t="s">
        <v>2260</v>
      </c>
    </row>
    <row r="358" spans="1:11" x14ac:dyDescent="0.2">
      <c r="A358" s="4" t="s">
        <v>3424</v>
      </c>
      <c r="B358" s="4" t="s">
        <v>1673</v>
      </c>
      <c r="C358" s="4" t="s">
        <v>3425</v>
      </c>
      <c r="D358" s="4" t="s">
        <v>3426</v>
      </c>
      <c r="E358" s="4" t="s">
        <v>1737</v>
      </c>
      <c r="F358" s="4" t="s">
        <v>2198</v>
      </c>
      <c r="G358" s="4" t="s">
        <v>48</v>
      </c>
      <c r="H358" s="4" t="s">
        <v>1939</v>
      </c>
      <c r="I358" s="4" t="s">
        <v>1940</v>
      </c>
      <c r="J358" s="4" t="s">
        <v>70</v>
      </c>
      <c r="K358" s="4" t="s">
        <v>3343</v>
      </c>
    </row>
    <row r="359" spans="1:11" x14ac:dyDescent="0.2">
      <c r="A359" s="4" t="s">
        <v>3427</v>
      </c>
      <c r="B359" s="4" t="s">
        <v>1639</v>
      </c>
      <c r="C359" s="4" t="s">
        <v>2559</v>
      </c>
      <c r="D359" s="4" t="s">
        <v>3428</v>
      </c>
      <c r="E359" s="4" t="s">
        <v>3429</v>
      </c>
      <c r="F359" s="4" t="s">
        <v>1938</v>
      </c>
      <c r="G359" s="4" t="s">
        <v>48</v>
      </c>
      <c r="H359" s="4" t="s">
        <v>1939</v>
      </c>
      <c r="I359" s="4" t="s">
        <v>1959</v>
      </c>
      <c r="J359" s="4" t="s">
        <v>69</v>
      </c>
      <c r="K359" s="4" t="s">
        <v>2049</v>
      </c>
    </row>
    <row r="360" spans="1:11" x14ac:dyDescent="0.2">
      <c r="A360" s="4" t="s">
        <v>3430</v>
      </c>
      <c r="B360" s="4" t="s">
        <v>1812</v>
      </c>
      <c r="C360" s="4" t="s">
        <v>2326</v>
      </c>
      <c r="D360" s="4" t="s">
        <v>3431</v>
      </c>
      <c r="E360" s="4" t="s">
        <v>3432</v>
      </c>
      <c r="F360" s="4" t="s">
        <v>1958</v>
      </c>
      <c r="G360" s="4" t="s">
        <v>48</v>
      </c>
      <c r="H360" s="4" t="s">
        <v>1939</v>
      </c>
      <c r="I360" s="4" t="s">
        <v>1940</v>
      </c>
      <c r="J360" s="4" t="s">
        <v>69</v>
      </c>
      <c r="K360" s="4" t="s">
        <v>2049</v>
      </c>
    </row>
    <row r="361" spans="1:11" x14ac:dyDescent="0.2">
      <c r="A361" s="4" t="s">
        <v>3433</v>
      </c>
      <c r="B361" s="4" t="s">
        <v>1760</v>
      </c>
      <c r="C361" s="4" t="s">
        <v>2546</v>
      </c>
      <c r="D361" s="4" t="s">
        <v>3434</v>
      </c>
      <c r="E361" s="4" t="s">
        <v>3435</v>
      </c>
      <c r="F361" s="4" t="s">
        <v>1946</v>
      </c>
      <c r="G361" s="4" t="s">
        <v>50</v>
      </c>
      <c r="H361" s="4" t="s">
        <v>2057</v>
      </c>
      <c r="I361" s="4" t="s">
        <v>1997</v>
      </c>
      <c r="J361" s="4" t="s">
        <v>70</v>
      </c>
      <c r="K361" s="4" t="s">
        <v>2072</v>
      </c>
    </row>
    <row r="362" spans="1:11" x14ac:dyDescent="0.2">
      <c r="A362" s="4" t="s">
        <v>3436</v>
      </c>
      <c r="B362" s="4" t="s">
        <v>1906</v>
      </c>
      <c r="C362" s="4" t="s">
        <v>3437</v>
      </c>
      <c r="D362" s="4" t="s">
        <v>3438</v>
      </c>
      <c r="E362" s="4" t="s">
        <v>3439</v>
      </c>
      <c r="F362" s="4" t="s">
        <v>2193</v>
      </c>
      <c r="G362" s="4" t="s">
        <v>49</v>
      </c>
      <c r="H362" s="4" t="s">
        <v>1939</v>
      </c>
      <c r="I362" s="4" t="s">
        <v>1969</v>
      </c>
      <c r="J362" s="4" t="s">
        <v>72</v>
      </c>
      <c r="K362" s="4" t="s">
        <v>3440</v>
      </c>
    </row>
    <row r="363" spans="1:11" x14ac:dyDescent="0.2">
      <c r="A363" s="4" t="s">
        <v>3441</v>
      </c>
      <c r="B363" s="4" t="s">
        <v>1802</v>
      </c>
      <c r="C363" s="4" t="s">
        <v>2438</v>
      </c>
      <c r="D363" s="4" t="s">
        <v>3442</v>
      </c>
      <c r="E363" s="4" t="s">
        <v>3443</v>
      </c>
      <c r="F363" s="4" t="s">
        <v>1946</v>
      </c>
      <c r="G363" s="4" t="s">
        <v>49</v>
      </c>
      <c r="H363" s="4" t="s">
        <v>1939</v>
      </c>
      <c r="I363" s="4" t="s">
        <v>1940</v>
      </c>
      <c r="J363" s="4" t="s">
        <v>69</v>
      </c>
      <c r="K363" s="4" t="s">
        <v>2660</v>
      </c>
    </row>
    <row r="364" spans="1:11" x14ac:dyDescent="0.2">
      <c r="A364" s="4" t="s">
        <v>3444</v>
      </c>
      <c r="B364" s="4" t="s">
        <v>1632</v>
      </c>
      <c r="C364" s="4" t="s">
        <v>3029</v>
      </c>
      <c r="D364" s="4" t="s">
        <v>3445</v>
      </c>
      <c r="E364" s="4" t="s">
        <v>3446</v>
      </c>
      <c r="F364" s="4" t="s">
        <v>1964</v>
      </c>
      <c r="G364" s="4" t="s">
        <v>50</v>
      </c>
      <c r="H364" s="4" t="s">
        <v>2057</v>
      </c>
      <c r="I364" s="4" t="s">
        <v>1940</v>
      </c>
      <c r="J364" s="4" t="s">
        <v>72</v>
      </c>
      <c r="K364" s="4" t="s">
        <v>3447</v>
      </c>
    </row>
    <row r="365" spans="1:11" x14ac:dyDescent="0.2">
      <c r="A365" s="4" t="s">
        <v>3448</v>
      </c>
      <c r="B365" s="4" t="s">
        <v>1739</v>
      </c>
      <c r="C365" s="4" t="s">
        <v>3449</v>
      </c>
      <c r="D365" s="4" t="s">
        <v>3450</v>
      </c>
      <c r="E365" s="4" t="s">
        <v>3451</v>
      </c>
      <c r="F365" s="4" t="s">
        <v>1946</v>
      </c>
      <c r="G365" s="4" t="s">
        <v>48</v>
      </c>
      <c r="H365" s="4" t="s">
        <v>1939</v>
      </c>
      <c r="I365" s="4" t="s">
        <v>1997</v>
      </c>
      <c r="J365" s="4" t="s">
        <v>69</v>
      </c>
      <c r="K365" s="4" t="s">
        <v>3452</v>
      </c>
    </row>
    <row r="366" spans="1:11" x14ac:dyDescent="0.2">
      <c r="A366" s="4" t="s">
        <v>3453</v>
      </c>
      <c r="B366" s="4" t="s">
        <v>1655</v>
      </c>
      <c r="C366" s="4" t="s">
        <v>2754</v>
      </c>
      <c r="D366" s="4" t="s">
        <v>3454</v>
      </c>
      <c r="E366" s="4" t="s">
        <v>1627</v>
      </c>
      <c r="F366" s="4" t="s">
        <v>2018</v>
      </c>
      <c r="G366" s="4" t="s">
        <v>48</v>
      </c>
      <c r="H366" s="4" t="s">
        <v>1939</v>
      </c>
      <c r="I366" s="4" t="s">
        <v>1940</v>
      </c>
      <c r="J366" s="4" t="s">
        <v>72</v>
      </c>
      <c r="K366" s="4" t="s">
        <v>3455</v>
      </c>
    </row>
    <row r="367" spans="1:11" x14ac:dyDescent="0.2">
      <c r="A367" s="4" t="s">
        <v>3456</v>
      </c>
      <c r="B367" s="4" t="s">
        <v>1824</v>
      </c>
      <c r="C367" s="4" t="s">
        <v>2573</v>
      </c>
      <c r="D367" s="4" t="s">
        <v>3457</v>
      </c>
      <c r="E367" s="4" t="s">
        <v>3458</v>
      </c>
      <c r="F367" s="4" t="s">
        <v>2018</v>
      </c>
      <c r="G367" s="4" t="s">
        <v>49</v>
      </c>
      <c r="H367" s="4" t="s">
        <v>1939</v>
      </c>
      <c r="I367" s="4" t="s">
        <v>1940</v>
      </c>
      <c r="J367" s="4" t="s">
        <v>69</v>
      </c>
      <c r="K367" s="4" t="s">
        <v>2675</v>
      </c>
    </row>
    <row r="368" spans="1:11" x14ac:dyDescent="0.2">
      <c r="A368" s="4" t="s">
        <v>3459</v>
      </c>
      <c r="B368" s="4" t="s">
        <v>1764</v>
      </c>
      <c r="C368" s="4" t="s">
        <v>2046</v>
      </c>
      <c r="D368" s="4" t="s">
        <v>3460</v>
      </c>
      <c r="E368" s="4" t="s">
        <v>3461</v>
      </c>
      <c r="F368" s="4" t="s">
        <v>2043</v>
      </c>
      <c r="G368" s="4" t="s">
        <v>50</v>
      </c>
      <c r="H368" s="4" t="s">
        <v>2057</v>
      </c>
      <c r="I368" s="4" t="s">
        <v>1940</v>
      </c>
      <c r="J368" s="4" t="s">
        <v>72</v>
      </c>
      <c r="K368" s="4" t="s">
        <v>3062</v>
      </c>
    </row>
    <row r="369" spans="1:11" x14ac:dyDescent="0.2">
      <c r="A369" s="4" t="s">
        <v>3462</v>
      </c>
      <c r="B369" s="4" t="s">
        <v>1852</v>
      </c>
      <c r="C369" s="4" t="s">
        <v>2992</v>
      </c>
      <c r="D369" s="4" t="s">
        <v>3463</v>
      </c>
      <c r="E369" s="4" t="s">
        <v>3464</v>
      </c>
      <c r="F369" s="4" t="s">
        <v>2002</v>
      </c>
      <c r="G369" s="4" t="s">
        <v>49</v>
      </c>
      <c r="H369" s="4" t="s">
        <v>1939</v>
      </c>
      <c r="I369" s="4" t="s">
        <v>1969</v>
      </c>
      <c r="J369" s="4" t="s">
        <v>72</v>
      </c>
      <c r="K369" s="4" t="s">
        <v>3465</v>
      </c>
    </row>
    <row r="370" spans="1:11" x14ac:dyDescent="0.2">
      <c r="A370" s="4" t="s">
        <v>3466</v>
      </c>
      <c r="B370" s="4" t="s">
        <v>1635</v>
      </c>
      <c r="C370" s="4" t="s">
        <v>2055</v>
      </c>
      <c r="D370" s="4" t="s">
        <v>3467</v>
      </c>
      <c r="E370" s="4" t="s">
        <v>1957</v>
      </c>
      <c r="F370" s="4" t="s">
        <v>2102</v>
      </c>
      <c r="G370" s="4" t="s">
        <v>49</v>
      </c>
      <c r="H370" s="4" t="s">
        <v>1939</v>
      </c>
      <c r="I370" s="4" t="s">
        <v>1940</v>
      </c>
      <c r="J370" s="4" t="s">
        <v>72</v>
      </c>
      <c r="K370" s="4" t="s">
        <v>3468</v>
      </c>
    </row>
    <row r="371" spans="1:11" x14ac:dyDescent="0.2">
      <c r="A371" s="4" t="s">
        <v>3469</v>
      </c>
      <c r="B371" s="4" t="s">
        <v>1550</v>
      </c>
      <c r="C371" s="4" t="s">
        <v>2490</v>
      </c>
      <c r="D371" s="4" t="s">
        <v>3470</v>
      </c>
      <c r="E371" s="4" t="s">
        <v>1991</v>
      </c>
      <c r="F371" s="4" t="s">
        <v>1938</v>
      </c>
      <c r="G371" s="4" t="s">
        <v>50</v>
      </c>
      <c r="H371" s="4" t="s">
        <v>2057</v>
      </c>
      <c r="I371" s="4" t="s">
        <v>1969</v>
      </c>
      <c r="J371" s="4" t="s">
        <v>69</v>
      </c>
      <c r="K371" s="4" t="s">
        <v>3471</v>
      </c>
    </row>
    <row r="372" spans="1:11" x14ac:dyDescent="0.2">
      <c r="A372" s="4" t="s">
        <v>3472</v>
      </c>
      <c r="B372" s="4" t="s">
        <v>1898</v>
      </c>
      <c r="C372" s="4" t="s">
        <v>3473</v>
      </c>
      <c r="D372" s="4" t="s">
        <v>3474</v>
      </c>
      <c r="E372" s="4" t="s">
        <v>3475</v>
      </c>
      <c r="F372" s="4" t="s">
        <v>2217</v>
      </c>
      <c r="G372" s="4" t="s">
        <v>50</v>
      </c>
      <c r="H372" s="4" t="s">
        <v>1939</v>
      </c>
      <c r="I372" s="4" t="s">
        <v>1969</v>
      </c>
      <c r="J372" s="4" t="s">
        <v>70</v>
      </c>
      <c r="K372" s="4" t="s">
        <v>2788</v>
      </c>
    </row>
    <row r="373" spans="1:11" x14ac:dyDescent="0.2">
      <c r="A373" s="4" t="s">
        <v>3476</v>
      </c>
      <c r="B373" s="4" t="s">
        <v>1887</v>
      </c>
      <c r="C373" s="4" t="s">
        <v>2702</v>
      </c>
      <c r="D373" s="4" t="s">
        <v>3477</v>
      </c>
      <c r="E373" s="4" t="s">
        <v>3478</v>
      </c>
      <c r="F373" s="4" t="s">
        <v>1975</v>
      </c>
      <c r="G373" s="4" t="s">
        <v>48</v>
      </c>
      <c r="H373" s="4" t="s">
        <v>1939</v>
      </c>
      <c r="I373" s="4" t="s">
        <v>1959</v>
      </c>
      <c r="J373" s="4" t="s">
        <v>70</v>
      </c>
      <c r="K373" s="4" t="s">
        <v>1960</v>
      </c>
    </row>
    <row r="374" spans="1:11" x14ac:dyDescent="0.2">
      <c r="A374" s="4" t="s">
        <v>3479</v>
      </c>
      <c r="B374" s="4" t="s">
        <v>1695</v>
      </c>
      <c r="C374" s="4" t="s">
        <v>2475</v>
      </c>
      <c r="D374" s="4" t="s">
        <v>3480</v>
      </c>
      <c r="E374" s="4" t="s">
        <v>3481</v>
      </c>
      <c r="F374" s="4" t="s">
        <v>2128</v>
      </c>
      <c r="G374" s="4" t="s">
        <v>48</v>
      </c>
      <c r="H374" s="4" t="s">
        <v>1939</v>
      </c>
      <c r="I374" s="4" t="s">
        <v>1997</v>
      </c>
      <c r="J374" s="4" t="s">
        <v>70</v>
      </c>
      <c r="K374" s="4" t="s">
        <v>2194</v>
      </c>
    </row>
    <row r="375" spans="1:11" x14ac:dyDescent="0.2">
      <c r="A375" s="4" t="s">
        <v>3482</v>
      </c>
      <c r="B375" s="4" t="s">
        <v>1702</v>
      </c>
      <c r="C375" s="4" t="s">
        <v>2190</v>
      </c>
      <c r="D375" s="4" t="s">
        <v>3483</v>
      </c>
      <c r="E375" s="4" t="s">
        <v>3484</v>
      </c>
      <c r="F375" s="4" t="s">
        <v>2159</v>
      </c>
      <c r="G375" s="4" t="s">
        <v>49</v>
      </c>
      <c r="H375" s="4" t="s">
        <v>1939</v>
      </c>
      <c r="I375" s="4" t="s">
        <v>1940</v>
      </c>
      <c r="J375" s="4" t="s">
        <v>70</v>
      </c>
      <c r="K375" s="4" t="s">
        <v>3485</v>
      </c>
    </row>
    <row r="376" spans="1:11" x14ac:dyDescent="0.2">
      <c r="A376" s="4" t="s">
        <v>3486</v>
      </c>
      <c r="B376" s="4" t="s">
        <v>1746</v>
      </c>
      <c r="C376" s="4" t="s">
        <v>2590</v>
      </c>
      <c r="D376" s="4" t="s">
        <v>3487</v>
      </c>
      <c r="E376" s="4" t="s">
        <v>3488</v>
      </c>
      <c r="F376" s="4" t="s">
        <v>2193</v>
      </c>
      <c r="G376" s="4" t="s">
        <v>48</v>
      </c>
      <c r="H376" s="4" t="s">
        <v>1939</v>
      </c>
      <c r="I376" s="4" t="s">
        <v>1997</v>
      </c>
      <c r="J376" s="4" t="s">
        <v>72</v>
      </c>
      <c r="K376" s="4" t="s">
        <v>3489</v>
      </c>
    </row>
    <row r="377" spans="1:11" x14ac:dyDescent="0.2">
      <c r="A377" s="4" t="s">
        <v>3490</v>
      </c>
      <c r="B377" s="4" t="s">
        <v>1702</v>
      </c>
      <c r="C377" s="4" t="s">
        <v>2750</v>
      </c>
      <c r="D377" s="4" t="s">
        <v>3491</v>
      </c>
      <c r="E377" s="4" t="s">
        <v>3492</v>
      </c>
      <c r="F377" s="4" t="s">
        <v>2198</v>
      </c>
      <c r="G377" s="4" t="s">
        <v>48</v>
      </c>
      <c r="H377" s="4" t="s">
        <v>1939</v>
      </c>
      <c r="I377" s="4" t="s">
        <v>1940</v>
      </c>
      <c r="J377" s="4" t="s">
        <v>72</v>
      </c>
      <c r="K377" s="4" t="s">
        <v>2760</v>
      </c>
    </row>
    <row r="378" spans="1:11" x14ac:dyDescent="0.2">
      <c r="A378" s="4" t="s">
        <v>3493</v>
      </c>
      <c r="B378" s="4" t="s">
        <v>1772</v>
      </c>
      <c r="C378" s="4" t="s">
        <v>2035</v>
      </c>
      <c r="D378" s="4" t="s">
        <v>3494</v>
      </c>
      <c r="E378" s="4" t="s">
        <v>3495</v>
      </c>
      <c r="F378" s="4" t="s">
        <v>1992</v>
      </c>
      <c r="G378" s="4" t="s">
        <v>48</v>
      </c>
      <c r="H378" s="4" t="s">
        <v>1939</v>
      </c>
      <c r="I378" s="4" t="s">
        <v>1997</v>
      </c>
      <c r="J378" s="4" t="s">
        <v>70</v>
      </c>
      <c r="K378" s="4" t="s">
        <v>3327</v>
      </c>
    </row>
    <row r="379" spans="1:11" x14ac:dyDescent="0.2">
      <c r="A379" s="4" t="s">
        <v>3496</v>
      </c>
      <c r="B379" s="4" t="s">
        <v>1531</v>
      </c>
      <c r="C379" s="4" t="s">
        <v>3497</v>
      </c>
      <c r="D379" s="4" t="s">
        <v>3498</v>
      </c>
      <c r="E379" s="4" t="s">
        <v>2431</v>
      </c>
      <c r="F379" s="4" t="s">
        <v>2193</v>
      </c>
      <c r="G379" s="4" t="s">
        <v>48</v>
      </c>
      <c r="H379" s="4" t="s">
        <v>1939</v>
      </c>
      <c r="I379" s="4" t="s">
        <v>1940</v>
      </c>
      <c r="J379" s="4" t="s">
        <v>72</v>
      </c>
      <c r="K379" s="4" t="s">
        <v>2118</v>
      </c>
    </row>
    <row r="380" spans="1:11" x14ac:dyDescent="0.2">
      <c r="A380" s="4" t="s">
        <v>3499</v>
      </c>
      <c r="B380" s="4" t="s">
        <v>1783</v>
      </c>
      <c r="C380" s="4" t="s">
        <v>3104</v>
      </c>
      <c r="D380" s="4" t="s">
        <v>3500</v>
      </c>
      <c r="E380" s="4" t="s">
        <v>3501</v>
      </c>
      <c r="F380" s="4" t="s">
        <v>2032</v>
      </c>
      <c r="G380" s="4" t="s">
        <v>49</v>
      </c>
      <c r="H380" s="4" t="s">
        <v>1939</v>
      </c>
      <c r="I380" s="4" t="s">
        <v>1940</v>
      </c>
      <c r="J380" s="4" t="s">
        <v>69</v>
      </c>
      <c r="K380" s="4" t="s">
        <v>2752</v>
      </c>
    </row>
    <row r="381" spans="1:11" x14ac:dyDescent="0.2">
      <c r="A381" s="4" t="s">
        <v>3502</v>
      </c>
      <c r="B381" s="4" t="s">
        <v>1647</v>
      </c>
      <c r="C381" s="4" t="s">
        <v>2060</v>
      </c>
      <c r="D381" s="4" t="s">
        <v>3503</v>
      </c>
      <c r="E381" s="4" t="s">
        <v>3504</v>
      </c>
      <c r="F381" s="4" t="s">
        <v>2217</v>
      </c>
      <c r="G381" s="4" t="s">
        <v>48</v>
      </c>
      <c r="H381" s="4" t="s">
        <v>1939</v>
      </c>
      <c r="I381" s="4" t="s">
        <v>1940</v>
      </c>
      <c r="J381" s="4" t="s">
        <v>72</v>
      </c>
      <c r="K381" s="4" t="s">
        <v>3505</v>
      </c>
    </row>
    <row r="382" spans="1:11" x14ac:dyDescent="0.2">
      <c r="A382" s="4" t="s">
        <v>3506</v>
      </c>
      <c r="B382" s="4" t="s">
        <v>1491</v>
      </c>
      <c r="C382" s="4" t="s">
        <v>3507</v>
      </c>
      <c r="D382" s="4" t="s">
        <v>3508</v>
      </c>
      <c r="E382" s="4" t="s">
        <v>3509</v>
      </c>
      <c r="F382" s="4" t="s">
        <v>2159</v>
      </c>
      <c r="G382" s="4" t="s">
        <v>48</v>
      </c>
      <c r="H382" s="4" t="s">
        <v>1939</v>
      </c>
      <c r="I382" s="4" t="s">
        <v>1997</v>
      </c>
      <c r="J382" s="4" t="s">
        <v>69</v>
      </c>
      <c r="K382" s="4" t="s">
        <v>2432</v>
      </c>
    </row>
    <row r="383" spans="1:11" x14ac:dyDescent="0.2">
      <c r="A383" s="4" t="s">
        <v>3510</v>
      </c>
      <c r="B383" s="4" t="s">
        <v>1828</v>
      </c>
      <c r="C383" s="4" t="s">
        <v>2426</v>
      </c>
      <c r="D383" s="4" t="s">
        <v>3511</v>
      </c>
      <c r="E383" s="4" t="s">
        <v>2187</v>
      </c>
      <c r="F383" s="4" t="s">
        <v>2102</v>
      </c>
      <c r="G383" s="4" t="s">
        <v>48</v>
      </c>
      <c r="H383" s="4" t="s">
        <v>1939</v>
      </c>
      <c r="I383" s="4" t="s">
        <v>1969</v>
      </c>
      <c r="J383" s="4" t="s">
        <v>69</v>
      </c>
      <c r="K383" s="4" t="s">
        <v>3250</v>
      </c>
    </row>
    <row r="384" spans="1:11" x14ac:dyDescent="0.2">
      <c r="A384" s="4" t="s">
        <v>3512</v>
      </c>
      <c r="B384" s="4" t="s">
        <v>1756</v>
      </c>
      <c r="C384" s="4" t="s">
        <v>3273</v>
      </c>
      <c r="D384" s="4" t="s">
        <v>3513</v>
      </c>
      <c r="E384" s="4" t="s">
        <v>3514</v>
      </c>
      <c r="F384" s="4" t="s">
        <v>1952</v>
      </c>
      <c r="G384" s="4" t="s">
        <v>48</v>
      </c>
      <c r="H384" s="4" t="s">
        <v>1939</v>
      </c>
      <c r="I384" s="4" t="s">
        <v>1997</v>
      </c>
      <c r="J384" s="4" t="s">
        <v>69</v>
      </c>
      <c r="K384" s="4" t="s">
        <v>3515</v>
      </c>
    </row>
    <row r="385" spans="1:11" x14ac:dyDescent="0.2">
      <c r="A385" s="4" t="s">
        <v>3516</v>
      </c>
      <c r="B385" s="4" t="s">
        <v>1746</v>
      </c>
      <c r="C385" s="4" t="s">
        <v>2983</v>
      </c>
      <c r="D385" s="4" t="s">
        <v>3517</v>
      </c>
      <c r="E385" s="4" t="s">
        <v>2237</v>
      </c>
      <c r="F385" s="4" t="s">
        <v>1938</v>
      </c>
      <c r="G385" s="4" t="s">
        <v>48</v>
      </c>
      <c r="H385" s="4" t="s">
        <v>1939</v>
      </c>
      <c r="I385" s="4" t="s">
        <v>1959</v>
      </c>
      <c r="J385" s="4" t="s">
        <v>70</v>
      </c>
      <c r="K385" s="4" t="s">
        <v>3356</v>
      </c>
    </row>
    <row r="386" spans="1:11" x14ac:dyDescent="0.2">
      <c r="A386" s="4" t="s">
        <v>3518</v>
      </c>
      <c r="B386" s="4" t="s">
        <v>1802</v>
      </c>
      <c r="C386" s="4" t="s">
        <v>2438</v>
      </c>
      <c r="D386" s="4" t="s">
        <v>3519</v>
      </c>
      <c r="E386" s="4" t="s">
        <v>2464</v>
      </c>
      <c r="F386" s="4" t="s">
        <v>1952</v>
      </c>
      <c r="G386" s="4" t="s">
        <v>48</v>
      </c>
      <c r="H386" s="4" t="s">
        <v>1939</v>
      </c>
      <c r="I386" s="4" t="s">
        <v>1940</v>
      </c>
      <c r="J386" s="4" t="s">
        <v>69</v>
      </c>
      <c r="K386" s="4" t="s">
        <v>3397</v>
      </c>
    </row>
    <row r="387" spans="1:11" x14ac:dyDescent="0.2">
      <c r="A387" s="4" t="s">
        <v>3520</v>
      </c>
      <c r="B387" s="4" t="s">
        <v>1768</v>
      </c>
      <c r="C387" s="4" t="s">
        <v>3521</v>
      </c>
      <c r="D387" s="4" t="s">
        <v>3522</v>
      </c>
      <c r="E387" s="4" t="s">
        <v>3523</v>
      </c>
      <c r="F387" s="4" t="s">
        <v>1938</v>
      </c>
      <c r="G387" s="4" t="s">
        <v>49</v>
      </c>
      <c r="H387" s="4" t="s">
        <v>1939</v>
      </c>
      <c r="I387" s="4" t="s">
        <v>1959</v>
      </c>
      <c r="J387" s="4" t="s">
        <v>69</v>
      </c>
      <c r="K387" s="4" t="s">
        <v>3524</v>
      </c>
    </row>
    <row r="388" spans="1:11" x14ac:dyDescent="0.2">
      <c r="A388" s="4" t="s">
        <v>3525</v>
      </c>
      <c r="B388" s="4" t="s">
        <v>1553</v>
      </c>
      <c r="C388" s="4" t="s">
        <v>3076</v>
      </c>
      <c r="D388" s="4" t="s">
        <v>3526</v>
      </c>
      <c r="E388" s="4" t="s">
        <v>3527</v>
      </c>
      <c r="F388" s="4" t="s">
        <v>1946</v>
      </c>
      <c r="G388" s="4" t="s">
        <v>49</v>
      </c>
      <c r="H388" s="4" t="s">
        <v>1939</v>
      </c>
      <c r="I388" s="4" t="s">
        <v>1969</v>
      </c>
      <c r="J388" s="4" t="s">
        <v>72</v>
      </c>
      <c r="K388" s="4" t="s">
        <v>2514</v>
      </c>
    </row>
    <row r="389" spans="1:11" x14ac:dyDescent="0.2">
      <c r="A389" s="4" t="s">
        <v>3528</v>
      </c>
      <c r="B389" s="4" t="s">
        <v>1911</v>
      </c>
      <c r="C389" s="4" t="s">
        <v>2099</v>
      </c>
      <c r="D389" s="4" t="s">
        <v>3529</v>
      </c>
      <c r="E389" s="4" t="s">
        <v>3530</v>
      </c>
      <c r="F389" s="4" t="s">
        <v>2128</v>
      </c>
      <c r="G389" s="4" t="s">
        <v>48</v>
      </c>
      <c r="H389" s="4" t="s">
        <v>1939</v>
      </c>
      <c r="I389" s="4" t="s">
        <v>1997</v>
      </c>
      <c r="J389" s="4" t="s">
        <v>70</v>
      </c>
      <c r="K389" s="4" t="s">
        <v>2802</v>
      </c>
    </row>
    <row r="390" spans="1:11" x14ac:dyDescent="0.2">
      <c r="A390" s="4" t="s">
        <v>3531</v>
      </c>
      <c r="B390" s="4" t="s">
        <v>1805</v>
      </c>
      <c r="C390" s="4" t="s">
        <v>3532</v>
      </c>
      <c r="D390" s="4" t="s">
        <v>3533</v>
      </c>
      <c r="E390" s="4" t="s">
        <v>2704</v>
      </c>
      <c r="F390" s="4" t="s">
        <v>2198</v>
      </c>
      <c r="G390" s="4" t="s">
        <v>48</v>
      </c>
      <c r="H390" s="4" t="s">
        <v>1939</v>
      </c>
      <c r="I390" s="4" t="s">
        <v>1940</v>
      </c>
      <c r="J390" s="4" t="s">
        <v>70</v>
      </c>
      <c r="K390" s="4" t="s">
        <v>3534</v>
      </c>
    </row>
    <row r="391" spans="1:11" x14ac:dyDescent="0.2">
      <c r="A391" s="4" t="s">
        <v>3535</v>
      </c>
      <c r="B391" s="4" t="s">
        <v>1732</v>
      </c>
      <c r="C391" s="4" t="s">
        <v>2689</v>
      </c>
      <c r="D391" s="4" t="s">
        <v>3536</v>
      </c>
      <c r="E391" s="4" t="s">
        <v>3537</v>
      </c>
      <c r="F391" s="4" t="s">
        <v>1992</v>
      </c>
      <c r="G391" s="4" t="s">
        <v>48</v>
      </c>
      <c r="H391" s="4" t="s">
        <v>1939</v>
      </c>
      <c r="I391" s="4" t="s">
        <v>1997</v>
      </c>
      <c r="J391" s="4" t="s">
        <v>69</v>
      </c>
      <c r="K391" s="4" t="s">
        <v>3538</v>
      </c>
    </row>
    <row r="392" spans="1:11" x14ac:dyDescent="0.2">
      <c r="A392" s="4" t="s">
        <v>3539</v>
      </c>
      <c r="B392" s="4" t="s">
        <v>1768</v>
      </c>
      <c r="C392" s="4" t="s">
        <v>2815</v>
      </c>
      <c r="D392" s="4" t="s">
        <v>3540</v>
      </c>
      <c r="E392" s="4" t="s">
        <v>3541</v>
      </c>
      <c r="F392" s="4" t="s">
        <v>1964</v>
      </c>
      <c r="G392" s="4" t="s">
        <v>49</v>
      </c>
      <c r="H392" s="4" t="s">
        <v>1939</v>
      </c>
      <c r="I392" s="4" t="s">
        <v>1969</v>
      </c>
      <c r="J392" s="4" t="s">
        <v>69</v>
      </c>
      <c r="K392" s="4" t="s">
        <v>3542</v>
      </c>
    </row>
    <row r="393" spans="1:11" x14ac:dyDescent="0.2">
      <c r="A393" s="4" t="s">
        <v>3543</v>
      </c>
      <c r="B393" s="4" t="s">
        <v>1875</v>
      </c>
      <c r="C393" s="4" t="s">
        <v>3544</v>
      </c>
      <c r="D393" s="4" t="s">
        <v>3545</v>
      </c>
      <c r="E393" s="4" t="s">
        <v>3546</v>
      </c>
      <c r="F393" s="4" t="s">
        <v>2198</v>
      </c>
      <c r="G393" s="4" t="s">
        <v>48</v>
      </c>
      <c r="H393" s="4" t="s">
        <v>1939</v>
      </c>
      <c r="I393" s="4" t="s">
        <v>1959</v>
      </c>
      <c r="J393" s="4" t="s">
        <v>72</v>
      </c>
      <c r="K393" s="4" t="s">
        <v>3547</v>
      </c>
    </row>
    <row r="394" spans="1:11" x14ac:dyDescent="0.2">
      <c r="A394" s="4" t="s">
        <v>3548</v>
      </c>
      <c r="B394" s="4" t="s">
        <v>1802</v>
      </c>
      <c r="C394" s="4" t="s">
        <v>2438</v>
      </c>
      <c r="D394" s="4" t="s">
        <v>3549</v>
      </c>
      <c r="E394" s="4" t="s">
        <v>3550</v>
      </c>
      <c r="F394" s="4" t="s">
        <v>2128</v>
      </c>
      <c r="G394" s="4" t="s">
        <v>49</v>
      </c>
      <c r="H394" s="4" t="s">
        <v>1939</v>
      </c>
      <c r="I394" s="4" t="s">
        <v>1969</v>
      </c>
      <c r="J394" s="4" t="s">
        <v>72</v>
      </c>
      <c r="K394" s="4" t="s">
        <v>2346</v>
      </c>
    </row>
    <row r="395" spans="1:11" x14ac:dyDescent="0.2">
      <c r="A395" s="4" t="s">
        <v>3551</v>
      </c>
      <c r="B395" s="4" t="s">
        <v>1525</v>
      </c>
      <c r="C395" s="4" t="s">
        <v>3552</v>
      </c>
      <c r="D395" s="4" t="s">
        <v>3553</v>
      </c>
      <c r="E395" s="4" t="s">
        <v>3554</v>
      </c>
      <c r="F395" s="4" t="s">
        <v>1952</v>
      </c>
      <c r="G395" s="4" t="s">
        <v>49</v>
      </c>
      <c r="H395" s="4" t="s">
        <v>1939</v>
      </c>
      <c r="I395" s="4" t="s">
        <v>1959</v>
      </c>
      <c r="J395" s="4" t="s">
        <v>70</v>
      </c>
      <c r="K395" s="4" t="s">
        <v>3555</v>
      </c>
    </row>
    <row r="396" spans="1:11" x14ac:dyDescent="0.2">
      <c r="A396" s="4" t="s">
        <v>3556</v>
      </c>
      <c r="B396" s="4" t="s">
        <v>1894</v>
      </c>
      <c r="C396" s="4" t="s">
        <v>3557</v>
      </c>
      <c r="D396" s="4" t="s">
        <v>3558</v>
      </c>
      <c r="E396" s="4" t="s">
        <v>3559</v>
      </c>
      <c r="F396" s="4" t="s">
        <v>1975</v>
      </c>
      <c r="G396" s="4" t="s">
        <v>48</v>
      </c>
      <c r="H396" s="4" t="s">
        <v>1939</v>
      </c>
      <c r="I396" s="4" t="s">
        <v>1940</v>
      </c>
      <c r="J396" s="4" t="s">
        <v>72</v>
      </c>
      <c r="K396" s="4" t="s">
        <v>2353</v>
      </c>
    </row>
    <row r="397" spans="1:11" x14ac:dyDescent="0.2">
      <c r="A397" s="4" t="s">
        <v>3560</v>
      </c>
      <c r="B397" s="4" t="s">
        <v>1695</v>
      </c>
      <c r="C397" s="4" t="s">
        <v>2475</v>
      </c>
      <c r="D397" s="4" t="s">
        <v>3561</v>
      </c>
      <c r="E397" s="4" t="s">
        <v>3562</v>
      </c>
      <c r="F397" s="4" t="s">
        <v>1958</v>
      </c>
      <c r="G397" s="4" t="s">
        <v>49</v>
      </c>
      <c r="H397" s="4" t="s">
        <v>1939</v>
      </c>
      <c r="I397" s="4" t="s">
        <v>1959</v>
      </c>
      <c r="J397" s="4" t="s">
        <v>69</v>
      </c>
      <c r="K397" s="4" t="s">
        <v>3563</v>
      </c>
    </row>
    <row r="398" spans="1:11" x14ac:dyDescent="0.2">
      <c r="A398" s="4" t="s">
        <v>3564</v>
      </c>
      <c r="B398" s="4" t="s">
        <v>1635</v>
      </c>
      <c r="C398" s="4" t="s">
        <v>2511</v>
      </c>
      <c r="D398" s="4" t="s">
        <v>3565</v>
      </c>
      <c r="E398" s="4" t="s">
        <v>3566</v>
      </c>
      <c r="F398" s="4" t="s">
        <v>1981</v>
      </c>
      <c r="G398" s="4" t="s">
        <v>48</v>
      </c>
      <c r="H398" s="4" t="s">
        <v>1939</v>
      </c>
      <c r="I398" s="4" t="s">
        <v>1969</v>
      </c>
      <c r="J398" s="4" t="s">
        <v>70</v>
      </c>
      <c r="K398" s="4" t="s">
        <v>2082</v>
      </c>
    </row>
    <row r="399" spans="1:11" x14ac:dyDescent="0.2">
      <c r="A399" s="4" t="s">
        <v>3567</v>
      </c>
      <c r="B399" s="4" t="s">
        <v>1688</v>
      </c>
      <c r="C399" s="4" t="s">
        <v>2453</v>
      </c>
      <c r="D399" s="4" t="s">
        <v>3568</v>
      </c>
      <c r="E399" s="4" t="s">
        <v>3569</v>
      </c>
      <c r="F399" s="4" t="s">
        <v>2108</v>
      </c>
      <c r="G399" s="4" t="s">
        <v>48</v>
      </c>
      <c r="H399" s="4" t="s">
        <v>1939</v>
      </c>
      <c r="I399" s="4" t="s">
        <v>1997</v>
      </c>
      <c r="J399" s="4" t="s">
        <v>69</v>
      </c>
      <c r="K399" s="4" t="s">
        <v>1976</v>
      </c>
    </row>
    <row r="400" spans="1:11" x14ac:dyDescent="0.2">
      <c r="A400" s="4" t="s">
        <v>3570</v>
      </c>
      <c r="B400" s="4" t="s">
        <v>1883</v>
      </c>
      <c r="C400" s="4" t="s">
        <v>2125</v>
      </c>
      <c r="D400" s="4" t="s">
        <v>3571</v>
      </c>
      <c r="E400" s="4" t="s">
        <v>2448</v>
      </c>
      <c r="F400" s="4" t="s">
        <v>1938</v>
      </c>
      <c r="G400" s="4" t="s">
        <v>49</v>
      </c>
      <c r="H400" s="4" t="s">
        <v>1939</v>
      </c>
      <c r="I400" s="4" t="s">
        <v>1969</v>
      </c>
      <c r="J400" s="4" t="s">
        <v>69</v>
      </c>
      <c r="K400" s="4" t="s">
        <v>3572</v>
      </c>
    </row>
    <row r="401" spans="1:11" x14ac:dyDescent="0.2">
      <c r="A401" s="4" t="s">
        <v>3573</v>
      </c>
      <c r="B401" s="4" t="s">
        <v>1861</v>
      </c>
      <c r="C401" s="4" t="s">
        <v>2837</v>
      </c>
      <c r="D401" s="4" t="s">
        <v>3574</v>
      </c>
      <c r="E401" s="4" t="s">
        <v>3575</v>
      </c>
      <c r="F401" s="4" t="s">
        <v>2043</v>
      </c>
      <c r="G401" s="4" t="s">
        <v>48</v>
      </c>
      <c r="H401" s="4" t="s">
        <v>1939</v>
      </c>
      <c r="I401" s="4" t="s">
        <v>1969</v>
      </c>
      <c r="J401" s="4" t="s">
        <v>70</v>
      </c>
      <c r="K401" s="4" t="s">
        <v>3576</v>
      </c>
    </row>
    <row r="402" spans="1:11" x14ac:dyDescent="0.2">
      <c r="A402" s="4" t="s">
        <v>3577</v>
      </c>
      <c r="B402" s="4" t="s">
        <v>1749</v>
      </c>
      <c r="C402" s="4" t="s">
        <v>2446</v>
      </c>
      <c r="D402" s="4" t="s">
        <v>3578</v>
      </c>
      <c r="E402" s="4" t="s">
        <v>3330</v>
      </c>
      <c r="F402" s="4" t="s">
        <v>2159</v>
      </c>
      <c r="G402" s="4" t="s">
        <v>49</v>
      </c>
      <c r="H402" s="4" t="s">
        <v>1939</v>
      </c>
      <c r="I402" s="4" t="s">
        <v>1940</v>
      </c>
      <c r="J402" s="4" t="s">
        <v>72</v>
      </c>
      <c r="K402" s="4" t="s">
        <v>3534</v>
      </c>
    </row>
    <row r="403" spans="1:11" x14ac:dyDescent="0.2">
      <c r="A403" s="4" t="s">
        <v>3579</v>
      </c>
      <c r="B403" s="4" t="s">
        <v>1557</v>
      </c>
      <c r="C403" s="4" t="s">
        <v>3040</v>
      </c>
      <c r="D403" s="4" t="s">
        <v>3580</v>
      </c>
      <c r="E403" s="4" t="s">
        <v>3581</v>
      </c>
      <c r="F403" s="4" t="s">
        <v>1952</v>
      </c>
      <c r="G403" s="4" t="s">
        <v>48</v>
      </c>
      <c r="H403" s="4" t="s">
        <v>1939</v>
      </c>
      <c r="I403" s="4" t="s">
        <v>1959</v>
      </c>
      <c r="J403" s="4" t="s">
        <v>69</v>
      </c>
      <c r="K403" s="4" t="s">
        <v>3582</v>
      </c>
    </row>
    <row r="404" spans="1:11" x14ac:dyDescent="0.2">
      <c r="A404" s="4" t="s">
        <v>3583</v>
      </c>
      <c r="B404" s="4" t="s">
        <v>1798</v>
      </c>
      <c r="C404" s="4" t="s">
        <v>1989</v>
      </c>
      <c r="D404" s="4" t="s">
        <v>3584</v>
      </c>
      <c r="E404" s="4" t="s">
        <v>3585</v>
      </c>
      <c r="F404" s="4" t="s">
        <v>2159</v>
      </c>
      <c r="G404" s="4" t="s">
        <v>48</v>
      </c>
      <c r="H404" s="4" t="s">
        <v>1939</v>
      </c>
      <c r="I404" s="4" t="s">
        <v>1959</v>
      </c>
      <c r="J404" s="4" t="s">
        <v>70</v>
      </c>
      <c r="K404" s="4" t="s">
        <v>2109</v>
      </c>
    </row>
    <row r="405" spans="1:11" x14ac:dyDescent="0.2">
      <c r="A405" s="4" t="s">
        <v>3586</v>
      </c>
      <c r="B405" s="4" t="s">
        <v>1920</v>
      </c>
      <c r="C405" s="4" t="s">
        <v>3587</v>
      </c>
      <c r="D405" s="4" t="s">
        <v>3588</v>
      </c>
      <c r="E405" s="4" t="s">
        <v>3589</v>
      </c>
      <c r="F405" s="4" t="s">
        <v>2018</v>
      </c>
      <c r="G405" s="4" t="s">
        <v>48</v>
      </c>
      <c r="H405" s="4" t="s">
        <v>1939</v>
      </c>
      <c r="I405" s="4" t="s">
        <v>1997</v>
      </c>
      <c r="J405" s="4" t="s">
        <v>70</v>
      </c>
      <c r="K405" s="4" t="s">
        <v>2243</v>
      </c>
    </row>
    <row r="406" spans="1:11" x14ac:dyDescent="0.2">
      <c r="A406" s="4" t="s">
        <v>3590</v>
      </c>
      <c r="B406" s="4" t="s">
        <v>1691</v>
      </c>
      <c r="C406" s="4" t="s">
        <v>3244</v>
      </c>
      <c r="D406" s="4" t="s">
        <v>3591</v>
      </c>
      <c r="E406" s="4" t="s">
        <v>3592</v>
      </c>
      <c r="F406" s="4" t="s">
        <v>2002</v>
      </c>
      <c r="G406" s="4" t="s">
        <v>48</v>
      </c>
      <c r="H406" s="4" t="s">
        <v>1939</v>
      </c>
      <c r="I406" s="4" t="s">
        <v>1940</v>
      </c>
      <c r="J406" s="4" t="s">
        <v>72</v>
      </c>
      <c r="K406" s="4" t="s">
        <v>3593</v>
      </c>
    </row>
    <row r="407" spans="1:11" x14ac:dyDescent="0.2">
      <c r="A407" s="4" t="s">
        <v>3594</v>
      </c>
      <c r="B407" s="4" t="s">
        <v>1681</v>
      </c>
      <c r="C407" s="4" t="s">
        <v>2120</v>
      </c>
      <c r="D407" s="4" t="s">
        <v>3595</v>
      </c>
      <c r="E407" s="4" t="s">
        <v>3596</v>
      </c>
      <c r="F407" s="4" t="s">
        <v>1981</v>
      </c>
      <c r="G407" s="4" t="s">
        <v>48</v>
      </c>
      <c r="H407" s="4" t="s">
        <v>1939</v>
      </c>
      <c r="I407" s="4" t="s">
        <v>1969</v>
      </c>
      <c r="J407" s="4" t="s">
        <v>70</v>
      </c>
      <c r="K407" s="4" t="s">
        <v>2408</v>
      </c>
    </row>
    <row r="408" spans="1:11" x14ac:dyDescent="0.2">
      <c r="A408" s="4" t="s">
        <v>3597</v>
      </c>
      <c r="B408" s="4" t="s">
        <v>1596</v>
      </c>
      <c r="C408" s="4" t="s">
        <v>3598</v>
      </c>
      <c r="D408" s="4" t="s">
        <v>3599</v>
      </c>
      <c r="E408" s="4" t="s">
        <v>3600</v>
      </c>
      <c r="F408" s="4" t="s">
        <v>2102</v>
      </c>
      <c r="G408" s="4" t="s">
        <v>49</v>
      </c>
      <c r="H408" s="4" t="s">
        <v>1939</v>
      </c>
      <c r="I408" s="4" t="s">
        <v>1959</v>
      </c>
      <c r="J408" s="4" t="s">
        <v>72</v>
      </c>
      <c r="K408" s="4" t="s">
        <v>3601</v>
      </c>
    </row>
    <row r="409" spans="1:11" x14ac:dyDescent="0.2">
      <c r="A409" s="4" t="s">
        <v>3602</v>
      </c>
      <c r="B409" s="4" t="s">
        <v>1619</v>
      </c>
      <c r="C409" s="4" t="s">
        <v>3603</v>
      </c>
      <c r="D409" s="4" t="s">
        <v>3604</v>
      </c>
      <c r="E409" s="4" t="s">
        <v>3605</v>
      </c>
      <c r="F409" s="4" t="s">
        <v>1958</v>
      </c>
      <c r="G409" s="4" t="s">
        <v>48</v>
      </c>
      <c r="H409" s="4" t="s">
        <v>1939</v>
      </c>
      <c r="I409" s="4" t="s">
        <v>1969</v>
      </c>
      <c r="J409" s="4" t="s">
        <v>70</v>
      </c>
      <c r="K409" s="4" t="s">
        <v>2118</v>
      </c>
    </row>
    <row r="410" spans="1:11" x14ac:dyDescent="0.2">
      <c r="A410" s="4" t="s">
        <v>3606</v>
      </c>
      <c r="B410" s="4" t="s">
        <v>1861</v>
      </c>
      <c r="C410" s="4" t="s">
        <v>2421</v>
      </c>
      <c r="D410" s="4" t="s">
        <v>3607</v>
      </c>
      <c r="E410" s="4" t="s">
        <v>3608</v>
      </c>
      <c r="F410" s="4" t="s">
        <v>1958</v>
      </c>
      <c r="G410" s="4" t="s">
        <v>48</v>
      </c>
      <c r="H410" s="4" t="s">
        <v>1939</v>
      </c>
      <c r="I410" s="4" t="s">
        <v>1959</v>
      </c>
      <c r="J410" s="4" t="s">
        <v>72</v>
      </c>
      <c r="K410" s="4" t="s">
        <v>3609</v>
      </c>
    </row>
    <row r="411" spans="1:11" x14ac:dyDescent="0.2">
      <c r="A411" s="4" t="s">
        <v>3610</v>
      </c>
      <c r="B411" s="4" t="s">
        <v>1624</v>
      </c>
      <c r="C411" s="4" t="s">
        <v>3611</v>
      </c>
      <c r="D411" s="4" t="s">
        <v>3612</v>
      </c>
      <c r="E411" s="4" t="s">
        <v>3613</v>
      </c>
      <c r="F411" s="4" t="s">
        <v>2002</v>
      </c>
      <c r="G411" s="4" t="s">
        <v>50</v>
      </c>
      <c r="H411" s="4" t="s">
        <v>1939</v>
      </c>
      <c r="I411" s="4" t="s">
        <v>1969</v>
      </c>
      <c r="J411" s="4" t="s">
        <v>69</v>
      </c>
      <c r="K411" s="4" t="s">
        <v>3614</v>
      </c>
    </row>
    <row r="412" spans="1:11" x14ac:dyDescent="0.2">
      <c r="A412" s="4" t="s">
        <v>3615</v>
      </c>
      <c r="B412" s="4" t="s">
        <v>1569</v>
      </c>
      <c r="C412" s="4" t="s">
        <v>3616</v>
      </c>
      <c r="D412" s="4" t="s">
        <v>3617</v>
      </c>
      <c r="E412" s="4" t="s">
        <v>3049</v>
      </c>
      <c r="F412" s="4" t="s">
        <v>2002</v>
      </c>
      <c r="G412" s="4" t="s">
        <v>49</v>
      </c>
      <c r="H412" s="4" t="s">
        <v>1939</v>
      </c>
      <c r="I412" s="4" t="s">
        <v>1959</v>
      </c>
      <c r="J412" s="4" t="s">
        <v>70</v>
      </c>
      <c r="K412" s="4" t="s">
        <v>3618</v>
      </c>
    </row>
    <row r="413" spans="1:11" x14ac:dyDescent="0.2">
      <c r="A413" s="4" t="s">
        <v>3619</v>
      </c>
      <c r="B413" s="4" t="s">
        <v>1498</v>
      </c>
      <c r="C413" s="4" t="s">
        <v>2790</v>
      </c>
      <c r="D413" s="4" t="s">
        <v>3620</v>
      </c>
      <c r="E413" s="4" t="s">
        <v>3621</v>
      </c>
      <c r="F413" s="4" t="s">
        <v>1946</v>
      </c>
      <c r="G413" s="4" t="s">
        <v>49</v>
      </c>
      <c r="H413" s="4" t="s">
        <v>1939</v>
      </c>
      <c r="I413" s="4" t="s">
        <v>1940</v>
      </c>
      <c r="J413" s="4" t="s">
        <v>70</v>
      </c>
      <c r="K413" s="4" t="s">
        <v>3622</v>
      </c>
    </row>
    <row r="414" spans="1:11" x14ac:dyDescent="0.2">
      <c r="A414" s="4" t="s">
        <v>3623</v>
      </c>
      <c r="B414" s="4" t="s">
        <v>1779</v>
      </c>
      <c r="C414" s="4" t="s">
        <v>3624</v>
      </c>
      <c r="D414" s="4" t="s">
        <v>3625</v>
      </c>
      <c r="E414" s="4" t="s">
        <v>3626</v>
      </c>
      <c r="F414" s="4" t="s">
        <v>2032</v>
      </c>
      <c r="G414" s="4" t="s">
        <v>50</v>
      </c>
      <c r="H414" s="4" t="s">
        <v>2057</v>
      </c>
      <c r="I414" s="4" t="s">
        <v>1940</v>
      </c>
      <c r="J414" s="4" t="s">
        <v>69</v>
      </c>
      <c r="K414" s="4" t="s">
        <v>3627</v>
      </c>
    </row>
    <row r="415" spans="1:11" x14ac:dyDescent="0.2">
      <c r="A415" s="4" t="s">
        <v>3628</v>
      </c>
      <c r="B415" s="4" t="s">
        <v>1611</v>
      </c>
      <c r="C415" s="4" t="s">
        <v>2317</v>
      </c>
      <c r="D415" s="4" t="s">
        <v>3629</v>
      </c>
      <c r="E415" s="4" t="s">
        <v>3630</v>
      </c>
      <c r="F415" s="4" t="s">
        <v>1992</v>
      </c>
      <c r="G415" s="4" t="s">
        <v>48</v>
      </c>
      <c r="H415" s="4" t="s">
        <v>1939</v>
      </c>
      <c r="I415" s="4" t="s">
        <v>1997</v>
      </c>
      <c r="J415" s="4" t="s">
        <v>70</v>
      </c>
      <c r="K415" s="4" t="s">
        <v>2798</v>
      </c>
    </row>
    <row r="416" spans="1:11" x14ac:dyDescent="0.2">
      <c r="A416" s="4" t="s">
        <v>3631</v>
      </c>
      <c r="B416" s="4" t="s">
        <v>1852</v>
      </c>
      <c r="C416" s="4" t="s">
        <v>3171</v>
      </c>
      <c r="D416" s="4" t="s">
        <v>2574</v>
      </c>
      <c r="E416" s="4" t="s">
        <v>1614</v>
      </c>
      <c r="F416" s="4" t="s">
        <v>1964</v>
      </c>
      <c r="G416" s="4" t="s">
        <v>48</v>
      </c>
      <c r="H416" s="4" t="s">
        <v>1939</v>
      </c>
      <c r="I416" s="4" t="s">
        <v>1959</v>
      </c>
      <c r="J416" s="4" t="s">
        <v>69</v>
      </c>
      <c r="K416" s="4" t="s">
        <v>2368</v>
      </c>
    </row>
    <row r="417" spans="1:11" x14ac:dyDescent="0.2">
      <c r="A417" s="4" t="s">
        <v>3632</v>
      </c>
      <c r="B417" s="4" t="s">
        <v>1911</v>
      </c>
      <c r="C417" s="4" t="s">
        <v>2099</v>
      </c>
      <c r="D417" s="4" t="s">
        <v>3633</v>
      </c>
      <c r="E417" s="4" t="s">
        <v>2663</v>
      </c>
      <c r="F417" s="4" t="s">
        <v>2043</v>
      </c>
      <c r="G417" s="4" t="s">
        <v>48</v>
      </c>
      <c r="H417" s="4" t="s">
        <v>1939</v>
      </c>
      <c r="I417" s="4" t="s">
        <v>1940</v>
      </c>
      <c r="J417" s="4" t="s">
        <v>70</v>
      </c>
      <c r="K417" s="4" t="s">
        <v>2806</v>
      </c>
    </row>
    <row r="418" spans="1:11" x14ac:dyDescent="0.2">
      <c r="A418" s="4" t="s">
        <v>3634</v>
      </c>
      <c r="B418" s="4" t="s">
        <v>1705</v>
      </c>
      <c r="C418" s="4" t="s">
        <v>2382</v>
      </c>
      <c r="D418" s="4" t="s">
        <v>3635</v>
      </c>
      <c r="E418" s="4" t="s">
        <v>2846</v>
      </c>
      <c r="F418" s="4" t="s">
        <v>1958</v>
      </c>
      <c r="G418" s="4" t="s">
        <v>50</v>
      </c>
      <c r="H418" s="4" t="s">
        <v>1939</v>
      </c>
      <c r="I418" s="4" t="s">
        <v>1959</v>
      </c>
      <c r="J418" s="4" t="s">
        <v>69</v>
      </c>
      <c r="K418" s="4" t="s">
        <v>2385</v>
      </c>
    </row>
    <row r="419" spans="1:11" x14ac:dyDescent="0.2">
      <c r="A419" s="4" t="s">
        <v>3636</v>
      </c>
      <c r="B419" s="4" t="s">
        <v>1569</v>
      </c>
      <c r="C419" s="4" t="s">
        <v>3637</v>
      </c>
      <c r="D419" s="4" t="s">
        <v>3638</v>
      </c>
      <c r="E419" s="4" t="s">
        <v>3639</v>
      </c>
      <c r="F419" s="4" t="s">
        <v>1964</v>
      </c>
      <c r="G419" s="4" t="s">
        <v>48</v>
      </c>
      <c r="H419" s="4" t="s">
        <v>1939</v>
      </c>
      <c r="I419" s="4" t="s">
        <v>1969</v>
      </c>
      <c r="J419" s="4" t="s">
        <v>69</v>
      </c>
      <c r="K419" s="4" t="s">
        <v>3547</v>
      </c>
    </row>
    <row r="420" spans="1:11" x14ac:dyDescent="0.2">
      <c r="A420" s="4" t="s">
        <v>3640</v>
      </c>
      <c r="B420" s="4" t="s">
        <v>1588</v>
      </c>
      <c r="C420" s="4" t="s">
        <v>2886</v>
      </c>
      <c r="D420" s="4" t="s">
        <v>3641</v>
      </c>
      <c r="E420" s="4" t="s">
        <v>3642</v>
      </c>
      <c r="F420" s="4" t="s">
        <v>2217</v>
      </c>
      <c r="G420" s="4" t="s">
        <v>49</v>
      </c>
      <c r="H420" s="4" t="s">
        <v>1939</v>
      </c>
      <c r="I420" s="4" t="s">
        <v>1940</v>
      </c>
      <c r="J420" s="4" t="s">
        <v>69</v>
      </c>
      <c r="K420" s="4" t="s">
        <v>2118</v>
      </c>
    </row>
    <row r="421" spans="1:11" x14ac:dyDescent="0.2">
      <c r="A421" s="4" t="s">
        <v>3643</v>
      </c>
      <c r="B421" s="4" t="s">
        <v>1739</v>
      </c>
      <c r="C421" s="4" t="s">
        <v>3449</v>
      </c>
      <c r="D421" s="4" t="s">
        <v>3644</v>
      </c>
      <c r="E421" s="4" t="s">
        <v>3645</v>
      </c>
      <c r="F421" s="4" t="s">
        <v>1958</v>
      </c>
      <c r="G421" s="4" t="s">
        <v>48</v>
      </c>
      <c r="H421" s="4" t="s">
        <v>1939</v>
      </c>
      <c r="I421" s="4" t="s">
        <v>1969</v>
      </c>
      <c r="J421" s="4" t="s">
        <v>70</v>
      </c>
      <c r="K421" s="4" t="s">
        <v>2362</v>
      </c>
    </row>
    <row r="422" spans="1:11" x14ac:dyDescent="0.2">
      <c r="A422" s="4" t="s">
        <v>3646</v>
      </c>
      <c r="B422" s="4" t="s">
        <v>1746</v>
      </c>
      <c r="C422" s="4" t="s">
        <v>2983</v>
      </c>
      <c r="D422" s="4" t="s">
        <v>3647</v>
      </c>
      <c r="E422" s="4" t="s">
        <v>3648</v>
      </c>
      <c r="F422" s="4" t="s">
        <v>1946</v>
      </c>
      <c r="G422" s="4" t="s">
        <v>50</v>
      </c>
      <c r="H422" s="4" t="s">
        <v>1939</v>
      </c>
      <c r="I422" s="4" t="s">
        <v>1959</v>
      </c>
      <c r="J422" s="4" t="s">
        <v>69</v>
      </c>
      <c r="K422" s="4" t="s">
        <v>2038</v>
      </c>
    </row>
    <row r="423" spans="1:11" x14ac:dyDescent="0.2">
      <c r="A423" s="4" t="s">
        <v>3649</v>
      </c>
      <c r="B423" s="4" t="s">
        <v>1615</v>
      </c>
      <c r="C423" s="4" t="s">
        <v>2307</v>
      </c>
      <c r="D423" s="4" t="s">
        <v>3650</v>
      </c>
      <c r="E423" s="4" t="s">
        <v>3651</v>
      </c>
      <c r="F423" s="4" t="s">
        <v>2108</v>
      </c>
      <c r="G423" s="4" t="s">
        <v>48</v>
      </c>
      <c r="H423" s="4" t="s">
        <v>1939</v>
      </c>
      <c r="I423" s="4" t="s">
        <v>1959</v>
      </c>
      <c r="J423" s="4" t="s">
        <v>69</v>
      </c>
      <c r="K423" s="4" t="s">
        <v>2894</v>
      </c>
    </row>
    <row r="424" spans="1:11" x14ac:dyDescent="0.2">
      <c r="A424" s="4" t="s">
        <v>3652</v>
      </c>
      <c r="B424" s="4" t="s">
        <v>1662</v>
      </c>
      <c r="C424" s="4" t="s">
        <v>2829</v>
      </c>
      <c r="D424" s="4" t="s">
        <v>3653</v>
      </c>
      <c r="E424" s="4" t="s">
        <v>3654</v>
      </c>
      <c r="F424" s="4" t="s">
        <v>2108</v>
      </c>
      <c r="G424" s="4" t="s">
        <v>49</v>
      </c>
      <c r="H424" s="4" t="s">
        <v>1939</v>
      </c>
      <c r="I424" s="4" t="s">
        <v>1940</v>
      </c>
      <c r="J424" s="4" t="s">
        <v>70</v>
      </c>
      <c r="K424" s="4" t="s">
        <v>3655</v>
      </c>
    </row>
    <row r="425" spans="1:11" x14ac:dyDescent="0.2">
      <c r="A425" s="4" t="s">
        <v>3656</v>
      </c>
      <c r="B425" s="4" t="s">
        <v>1779</v>
      </c>
      <c r="C425" s="4" t="s">
        <v>3657</v>
      </c>
      <c r="D425" s="4" t="s">
        <v>3658</v>
      </c>
      <c r="E425" s="4" t="s">
        <v>3659</v>
      </c>
      <c r="F425" s="4" t="s">
        <v>2032</v>
      </c>
      <c r="G425" s="4" t="s">
        <v>48</v>
      </c>
      <c r="H425" s="4" t="s">
        <v>1939</v>
      </c>
      <c r="I425" s="4" t="s">
        <v>1969</v>
      </c>
      <c r="J425" s="4" t="s">
        <v>72</v>
      </c>
      <c r="K425" s="4" t="s">
        <v>3660</v>
      </c>
    </row>
    <row r="426" spans="1:11" x14ac:dyDescent="0.2">
      <c r="A426" s="4" t="s">
        <v>3661</v>
      </c>
      <c r="B426" s="4" t="s">
        <v>1557</v>
      </c>
      <c r="C426" s="4" t="s">
        <v>3040</v>
      </c>
      <c r="D426" s="4" t="s">
        <v>3662</v>
      </c>
      <c r="E426" s="4" t="s">
        <v>3663</v>
      </c>
      <c r="F426" s="4" t="s">
        <v>2159</v>
      </c>
      <c r="G426" s="4" t="s">
        <v>48</v>
      </c>
      <c r="H426" s="4" t="s">
        <v>1939</v>
      </c>
      <c r="I426" s="4" t="s">
        <v>1959</v>
      </c>
      <c r="J426" s="4" t="s">
        <v>72</v>
      </c>
      <c r="K426" s="4" t="s">
        <v>3207</v>
      </c>
    </row>
    <row r="427" spans="1:11" x14ac:dyDescent="0.2">
      <c r="A427" s="4" t="s">
        <v>3664</v>
      </c>
      <c r="B427" s="4" t="s">
        <v>1820</v>
      </c>
      <c r="C427" s="4" t="s">
        <v>3665</v>
      </c>
      <c r="D427" s="4" t="s">
        <v>3666</v>
      </c>
      <c r="E427" s="4" t="s">
        <v>3667</v>
      </c>
      <c r="F427" s="4" t="s">
        <v>1975</v>
      </c>
      <c r="G427" s="4" t="s">
        <v>49</v>
      </c>
      <c r="H427" s="4" t="s">
        <v>1939</v>
      </c>
      <c r="I427" s="4" t="s">
        <v>1997</v>
      </c>
      <c r="J427" s="4" t="s">
        <v>69</v>
      </c>
      <c r="K427" s="4" t="s">
        <v>3397</v>
      </c>
    </row>
    <row r="428" spans="1:11" x14ac:dyDescent="0.2">
      <c r="A428" s="4" t="s">
        <v>3668</v>
      </c>
      <c r="B428" s="4" t="s">
        <v>1525</v>
      </c>
      <c r="C428" s="4" t="s">
        <v>2950</v>
      </c>
      <c r="D428" s="4" t="s">
        <v>3669</v>
      </c>
      <c r="E428" s="4" t="s">
        <v>3670</v>
      </c>
      <c r="F428" s="4" t="s">
        <v>1946</v>
      </c>
      <c r="G428" s="4" t="s">
        <v>50</v>
      </c>
      <c r="H428" s="4" t="s">
        <v>2057</v>
      </c>
      <c r="I428" s="4" t="s">
        <v>1997</v>
      </c>
      <c r="J428" s="4" t="s">
        <v>68</v>
      </c>
      <c r="K428" s="4" t="s">
        <v>3671</v>
      </c>
    </row>
    <row r="429" spans="1:11" x14ac:dyDescent="0.2">
      <c r="A429" s="4" t="s">
        <v>3672</v>
      </c>
      <c r="B429" s="4" t="s">
        <v>1576</v>
      </c>
      <c r="C429" s="4" t="s">
        <v>3305</v>
      </c>
      <c r="D429" s="4" t="s">
        <v>3673</v>
      </c>
      <c r="E429" s="4" t="s">
        <v>3674</v>
      </c>
      <c r="F429" s="4" t="s">
        <v>2193</v>
      </c>
      <c r="G429" s="4" t="s">
        <v>48</v>
      </c>
      <c r="H429" s="4" t="s">
        <v>1939</v>
      </c>
      <c r="I429" s="4" t="s">
        <v>1959</v>
      </c>
      <c r="J429" s="4" t="s">
        <v>70</v>
      </c>
      <c r="K429" s="4" t="s">
        <v>3675</v>
      </c>
    </row>
    <row r="430" spans="1:11" x14ac:dyDescent="0.2">
      <c r="A430" s="4" t="s">
        <v>3676</v>
      </c>
      <c r="B430" s="4" t="s">
        <v>1588</v>
      </c>
      <c r="C430" s="4" t="s">
        <v>2000</v>
      </c>
      <c r="D430" s="4" t="s">
        <v>3677</v>
      </c>
      <c r="E430" s="4" t="s">
        <v>3197</v>
      </c>
      <c r="F430" s="4" t="s">
        <v>2159</v>
      </c>
      <c r="G430" s="4" t="s">
        <v>49</v>
      </c>
      <c r="H430" s="4" t="s">
        <v>1939</v>
      </c>
      <c r="I430" s="4" t="s">
        <v>1959</v>
      </c>
      <c r="J430" s="4" t="s">
        <v>72</v>
      </c>
      <c r="K430" s="4" t="s">
        <v>3678</v>
      </c>
    </row>
    <row r="431" spans="1:11" x14ac:dyDescent="0.2">
      <c r="A431" s="4" t="s">
        <v>3679</v>
      </c>
      <c r="B431" s="4" t="s">
        <v>1651</v>
      </c>
      <c r="C431" s="4" t="s">
        <v>2220</v>
      </c>
      <c r="D431" s="4" t="s">
        <v>3680</v>
      </c>
      <c r="E431" s="4" t="s">
        <v>3681</v>
      </c>
      <c r="F431" s="4" t="s">
        <v>1992</v>
      </c>
      <c r="G431" s="4" t="s">
        <v>48</v>
      </c>
      <c r="H431" s="4" t="s">
        <v>1939</v>
      </c>
      <c r="I431" s="4" t="s">
        <v>1997</v>
      </c>
      <c r="J431" s="4" t="s">
        <v>72</v>
      </c>
      <c r="K431" s="4" t="s">
        <v>3682</v>
      </c>
    </row>
    <row r="432" spans="1:11" x14ac:dyDescent="0.2">
      <c r="A432" s="4" t="s">
        <v>3683</v>
      </c>
      <c r="B432" s="4" t="s">
        <v>1505</v>
      </c>
      <c r="C432" s="4" t="s">
        <v>2312</v>
      </c>
      <c r="D432" s="4" t="s">
        <v>3684</v>
      </c>
      <c r="E432" s="4" t="s">
        <v>3685</v>
      </c>
      <c r="F432" s="4" t="s">
        <v>2002</v>
      </c>
      <c r="G432" s="4" t="s">
        <v>49</v>
      </c>
      <c r="H432" s="4" t="s">
        <v>1939</v>
      </c>
      <c r="I432" s="4" t="s">
        <v>1969</v>
      </c>
      <c r="J432" s="4" t="s">
        <v>72</v>
      </c>
      <c r="K432" s="4" t="s">
        <v>3686</v>
      </c>
    </row>
    <row r="433" spans="1:11" x14ac:dyDescent="0.2">
      <c r="A433" s="4" t="s">
        <v>3687</v>
      </c>
      <c r="B433" s="4" t="s">
        <v>1553</v>
      </c>
      <c r="C433" s="4" t="s">
        <v>3076</v>
      </c>
      <c r="D433" s="4" t="s">
        <v>3688</v>
      </c>
      <c r="E433" s="4" t="s">
        <v>2921</v>
      </c>
      <c r="F433" s="4" t="s">
        <v>1981</v>
      </c>
      <c r="G433" s="4" t="s">
        <v>48</v>
      </c>
      <c r="H433" s="4" t="s">
        <v>1939</v>
      </c>
      <c r="I433" s="4" t="s">
        <v>1959</v>
      </c>
      <c r="J433" s="4" t="s">
        <v>70</v>
      </c>
      <c r="K433" s="4" t="s">
        <v>3689</v>
      </c>
    </row>
    <row r="434" spans="1:11" x14ac:dyDescent="0.2">
      <c r="A434" s="4" t="s">
        <v>3690</v>
      </c>
      <c r="B434" s="4" t="s">
        <v>1720</v>
      </c>
      <c r="C434" s="4" t="s">
        <v>2397</v>
      </c>
      <c r="D434" s="4" t="s">
        <v>3691</v>
      </c>
      <c r="E434" s="4" t="s">
        <v>3692</v>
      </c>
      <c r="F434" s="4" t="s">
        <v>2159</v>
      </c>
      <c r="G434" s="4" t="s">
        <v>48</v>
      </c>
      <c r="H434" s="4" t="s">
        <v>1939</v>
      </c>
      <c r="I434" s="4" t="s">
        <v>1969</v>
      </c>
      <c r="J434" s="4" t="s">
        <v>70</v>
      </c>
      <c r="K434" s="4" t="s">
        <v>3693</v>
      </c>
    </row>
    <row r="435" spans="1:11" x14ac:dyDescent="0.2">
      <c r="A435" s="4" t="s">
        <v>3694</v>
      </c>
      <c r="B435" s="4" t="s">
        <v>1651</v>
      </c>
      <c r="C435" s="4" t="s">
        <v>3695</v>
      </c>
      <c r="D435" s="4" t="s">
        <v>2201</v>
      </c>
      <c r="E435" s="4" t="s">
        <v>3696</v>
      </c>
      <c r="F435" s="4" t="s">
        <v>2193</v>
      </c>
      <c r="G435" s="4" t="s">
        <v>48</v>
      </c>
      <c r="H435" s="4" t="s">
        <v>1939</v>
      </c>
      <c r="I435" s="4" t="s">
        <v>1997</v>
      </c>
      <c r="J435" s="4" t="s">
        <v>69</v>
      </c>
      <c r="K435" s="4" t="s">
        <v>3697</v>
      </c>
    </row>
    <row r="436" spans="1:11" x14ac:dyDescent="0.2">
      <c r="A436" s="4" t="s">
        <v>3698</v>
      </c>
      <c r="B436" s="4" t="s">
        <v>1511</v>
      </c>
      <c r="C436" s="4" t="s">
        <v>3699</v>
      </c>
      <c r="D436" s="4" t="s">
        <v>3700</v>
      </c>
      <c r="E436" s="4" t="s">
        <v>3701</v>
      </c>
      <c r="F436" s="4" t="s">
        <v>2018</v>
      </c>
      <c r="G436" s="4" t="s">
        <v>49</v>
      </c>
      <c r="H436" s="4" t="s">
        <v>1939</v>
      </c>
      <c r="I436" s="4" t="s">
        <v>1997</v>
      </c>
      <c r="J436" s="4" t="s">
        <v>72</v>
      </c>
      <c r="K436" s="4" t="s">
        <v>2243</v>
      </c>
    </row>
    <row r="437" spans="1:11" x14ac:dyDescent="0.2">
      <c r="A437" s="4" t="s">
        <v>3702</v>
      </c>
      <c r="B437" s="4" t="s">
        <v>1592</v>
      </c>
      <c r="C437" s="4" t="s">
        <v>3703</v>
      </c>
      <c r="D437" s="4" t="s">
        <v>3704</v>
      </c>
      <c r="E437" s="4" t="s">
        <v>3705</v>
      </c>
      <c r="F437" s="4" t="s">
        <v>1964</v>
      </c>
      <c r="G437" s="4" t="s">
        <v>50</v>
      </c>
      <c r="H437" s="4" t="s">
        <v>2057</v>
      </c>
      <c r="I437" s="4" t="s">
        <v>1997</v>
      </c>
      <c r="J437" s="4" t="s">
        <v>69</v>
      </c>
      <c r="K437" s="4" t="s">
        <v>2049</v>
      </c>
    </row>
    <row r="438" spans="1:11" x14ac:dyDescent="0.2">
      <c r="A438" s="4" t="s">
        <v>3706</v>
      </c>
      <c r="B438" s="4" t="s">
        <v>1525</v>
      </c>
      <c r="C438" s="4" t="s">
        <v>3552</v>
      </c>
      <c r="D438" s="4" t="s">
        <v>3707</v>
      </c>
      <c r="E438" s="4" t="s">
        <v>3708</v>
      </c>
      <c r="F438" s="4" t="s">
        <v>2032</v>
      </c>
      <c r="G438" s="4" t="s">
        <v>49</v>
      </c>
      <c r="H438" s="4" t="s">
        <v>1939</v>
      </c>
      <c r="I438" s="4" t="s">
        <v>1940</v>
      </c>
      <c r="J438" s="4" t="s">
        <v>70</v>
      </c>
      <c r="K438" s="4" t="s">
        <v>3709</v>
      </c>
    </row>
    <row r="439" spans="1:11" x14ac:dyDescent="0.2">
      <c r="A439" s="4" t="s">
        <v>3710</v>
      </c>
      <c r="B439" s="4" t="s">
        <v>1911</v>
      </c>
      <c r="C439" s="4" t="s">
        <v>2099</v>
      </c>
      <c r="D439" s="4" t="s">
        <v>3711</v>
      </c>
      <c r="E439" s="4" t="s">
        <v>2687</v>
      </c>
      <c r="F439" s="4" t="s">
        <v>2217</v>
      </c>
      <c r="G439" s="4" t="s">
        <v>48</v>
      </c>
      <c r="H439" s="4" t="s">
        <v>1939</v>
      </c>
      <c r="I439" s="4" t="s">
        <v>1969</v>
      </c>
      <c r="J439" s="4" t="s">
        <v>69</v>
      </c>
      <c r="K439" s="4" t="s">
        <v>2432</v>
      </c>
    </row>
    <row r="440" spans="1:11" x14ac:dyDescent="0.2">
      <c r="A440" s="4" t="s">
        <v>3712</v>
      </c>
      <c r="B440" s="4" t="s">
        <v>1607</v>
      </c>
      <c r="C440" s="4" t="s">
        <v>3713</v>
      </c>
      <c r="D440" s="4" t="s">
        <v>3714</v>
      </c>
      <c r="E440" s="4" t="s">
        <v>1627</v>
      </c>
      <c r="F440" s="4" t="s">
        <v>1964</v>
      </c>
      <c r="G440" s="4" t="s">
        <v>48</v>
      </c>
      <c r="H440" s="4" t="s">
        <v>1939</v>
      </c>
      <c r="I440" s="4" t="s">
        <v>1940</v>
      </c>
      <c r="J440" s="4" t="s">
        <v>72</v>
      </c>
      <c r="K440" s="4" t="s">
        <v>2243</v>
      </c>
    </row>
    <row r="441" spans="1:11" x14ac:dyDescent="0.2">
      <c r="A441" s="4" t="s">
        <v>3715</v>
      </c>
      <c r="B441" s="4" t="s">
        <v>1844</v>
      </c>
      <c r="C441" s="4" t="s">
        <v>3716</v>
      </c>
      <c r="D441" s="4" t="s">
        <v>3717</v>
      </c>
      <c r="E441" s="4" t="s">
        <v>3592</v>
      </c>
      <c r="F441" s="4" t="s">
        <v>1975</v>
      </c>
      <c r="G441" s="4" t="s">
        <v>49</v>
      </c>
      <c r="H441" s="4" t="s">
        <v>1939</v>
      </c>
      <c r="I441" s="4" t="s">
        <v>1940</v>
      </c>
      <c r="J441" s="4" t="s">
        <v>72</v>
      </c>
      <c r="K441" s="4" t="s">
        <v>2460</v>
      </c>
    </row>
    <row r="442" spans="1:11" x14ac:dyDescent="0.2">
      <c r="A442" s="4" t="s">
        <v>3718</v>
      </c>
      <c r="B442" s="4" t="s">
        <v>1666</v>
      </c>
      <c r="C442" s="4" t="s">
        <v>3403</v>
      </c>
      <c r="D442" s="4" t="s">
        <v>3719</v>
      </c>
      <c r="E442" s="4" t="s">
        <v>3720</v>
      </c>
      <c r="F442" s="4" t="s">
        <v>2102</v>
      </c>
      <c r="G442" s="4" t="s">
        <v>48</v>
      </c>
      <c r="H442" s="4" t="s">
        <v>1939</v>
      </c>
      <c r="I442" s="4" t="s">
        <v>1940</v>
      </c>
      <c r="J442" s="4" t="s">
        <v>70</v>
      </c>
      <c r="K442" s="4" t="s">
        <v>3721</v>
      </c>
    </row>
    <row r="443" spans="1:11" x14ac:dyDescent="0.2">
      <c r="A443" s="4" t="s">
        <v>3722</v>
      </c>
      <c r="B443" s="4" t="s">
        <v>1902</v>
      </c>
      <c r="C443" s="4" t="s">
        <v>3723</v>
      </c>
      <c r="D443" s="4" t="s">
        <v>3724</v>
      </c>
      <c r="E443" s="4" t="s">
        <v>1974</v>
      </c>
      <c r="F443" s="4" t="s">
        <v>2193</v>
      </c>
      <c r="G443" s="4" t="s">
        <v>48</v>
      </c>
      <c r="H443" s="4" t="s">
        <v>1939</v>
      </c>
      <c r="I443" s="4" t="s">
        <v>1959</v>
      </c>
      <c r="J443" s="4" t="s">
        <v>72</v>
      </c>
      <c r="K443" s="4" t="s">
        <v>2913</v>
      </c>
    </row>
    <row r="444" spans="1:11" x14ac:dyDescent="0.2">
      <c r="A444" s="4" t="s">
        <v>3725</v>
      </c>
      <c r="B444" s="4" t="s">
        <v>1902</v>
      </c>
      <c r="C444" s="4" t="s">
        <v>3723</v>
      </c>
      <c r="D444" s="4" t="s">
        <v>3726</v>
      </c>
      <c r="E444" s="4" t="s">
        <v>2332</v>
      </c>
      <c r="F444" s="4" t="s">
        <v>2018</v>
      </c>
      <c r="G444" s="4" t="s">
        <v>49</v>
      </c>
      <c r="H444" s="4" t="s">
        <v>1939</v>
      </c>
      <c r="I444" s="4" t="s">
        <v>1969</v>
      </c>
      <c r="J444" s="4" t="s">
        <v>72</v>
      </c>
      <c r="K444" s="4" t="s">
        <v>2292</v>
      </c>
    </row>
    <row r="445" spans="1:11" x14ac:dyDescent="0.2">
      <c r="A445" s="4" t="s">
        <v>3727</v>
      </c>
      <c r="B445" s="4" t="s">
        <v>1569</v>
      </c>
      <c r="C445" s="4" t="s">
        <v>3728</v>
      </c>
      <c r="D445" s="4" t="s">
        <v>3729</v>
      </c>
      <c r="E445" s="4" t="s">
        <v>3730</v>
      </c>
      <c r="F445" s="4" t="s">
        <v>1946</v>
      </c>
      <c r="G445" s="4" t="s">
        <v>48</v>
      </c>
      <c r="H445" s="4" t="s">
        <v>1939</v>
      </c>
      <c r="I445" s="4" t="s">
        <v>1959</v>
      </c>
      <c r="J445" s="4" t="s">
        <v>69</v>
      </c>
      <c r="K445" s="4" t="s">
        <v>3731</v>
      </c>
    </row>
    <row r="446" spans="1:11" x14ac:dyDescent="0.2">
      <c r="A446" s="4" t="s">
        <v>3732</v>
      </c>
      <c r="B446" s="4" t="s">
        <v>1727</v>
      </c>
      <c r="C446" s="4" t="s">
        <v>1978</v>
      </c>
      <c r="D446" s="4" t="s">
        <v>3733</v>
      </c>
      <c r="E446" s="4" t="s">
        <v>3734</v>
      </c>
      <c r="F446" s="4" t="s">
        <v>2198</v>
      </c>
      <c r="G446" s="4" t="s">
        <v>48</v>
      </c>
      <c r="H446" s="4" t="s">
        <v>1939</v>
      </c>
      <c r="I446" s="4" t="s">
        <v>1969</v>
      </c>
      <c r="J446" s="4" t="s">
        <v>70</v>
      </c>
      <c r="K446" s="4" t="s">
        <v>2149</v>
      </c>
    </row>
    <row r="447" spans="1:11" x14ac:dyDescent="0.2">
      <c r="A447" s="4" t="s">
        <v>3735</v>
      </c>
      <c r="B447" s="4" t="s">
        <v>1894</v>
      </c>
      <c r="C447" s="4" t="s">
        <v>3557</v>
      </c>
      <c r="D447" s="4" t="s">
        <v>3736</v>
      </c>
      <c r="E447" s="4" t="s">
        <v>3737</v>
      </c>
      <c r="F447" s="4" t="s">
        <v>1992</v>
      </c>
      <c r="G447" s="4" t="s">
        <v>49</v>
      </c>
      <c r="H447" s="4" t="s">
        <v>1939</v>
      </c>
      <c r="I447" s="4" t="s">
        <v>1969</v>
      </c>
      <c r="J447" s="4" t="s">
        <v>72</v>
      </c>
      <c r="K447" s="4" t="s">
        <v>3738</v>
      </c>
    </row>
    <row r="448" spans="1:11" x14ac:dyDescent="0.2">
      <c r="A448" s="4" t="s">
        <v>3739</v>
      </c>
      <c r="B448" s="4" t="s">
        <v>1798</v>
      </c>
      <c r="C448" s="4" t="s">
        <v>2074</v>
      </c>
      <c r="D448" s="4" t="s">
        <v>3740</v>
      </c>
      <c r="E448" s="4" t="s">
        <v>3741</v>
      </c>
      <c r="F448" s="4" t="s">
        <v>1938</v>
      </c>
      <c r="G448" s="4" t="s">
        <v>48</v>
      </c>
      <c r="H448" s="4" t="s">
        <v>1939</v>
      </c>
      <c r="I448" s="4" t="s">
        <v>1940</v>
      </c>
      <c r="J448" s="4" t="s">
        <v>72</v>
      </c>
      <c r="K448" s="4" t="s">
        <v>2033</v>
      </c>
    </row>
    <row r="449" spans="1:11" x14ac:dyDescent="0.2">
      <c r="A449" s="4" t="s">
        <v>3742</v>
      </c>
      <c r="B449" s="4" t="s">
        <v>1580</v>
      </c>
      <c r="C449" s="4" t="s">
        <v>3743</v>
      </c>
      <c r="D449" s="4" t="s">
        <v>3744</v>
      </c>
      <c r="E449" s="4" t="s">
        <v>2182</v>
      </c>
      <c r="F449" s="4" t="s">
        <v>1975</v>
      </c>
      <c r="G449" s="4" t="s">
        <v>48</v>
      </c>
      <c r="H449" s="4" t="s">
        <v>1939</v>
      </c>
      <c r="I449" s="4" t="s">
        <v>1959</v>
      </c>
      <c r="J449" s="4" t="s">
        <v>72</v>
      </c>
      <c r="K449" s="4" t="s">
        <v>3745</v>
      </c>
    </row>
    <row r="450" spans="1:11" x14ac:dyDescent="0.2">
      <c r="A450" s="4" t="s">
        <v>3746</v>
      </c>
      <c r="B450" s="4" t="s">
        <v>1498</v>
      </c>
      <c r="C450" s="4" t="s">
        <v>2790</v>
      </c>
      <c r="D450" s="4" t="s">
        <v>3747</v>
      </c>
      <c r="E450" s="4" t="s">
        <v>1715</v>
      </c>
      <c r="F450" s="4" t="s">
        <v>2217</v>
      </c>
      <c r="G450" s="4" t="s">
        <v>48</v>
      </c>
      <c r="H450" s="4" t="s">
        <v>1939</v>
      </c>
      <c r="I450" s="4" t="s">
        <v>1959</v>
      </c>
      <c r="J450" s="4" t="s">
        <v>72</v>
      </c>
      <c r="K450" s="4" t="s">
        <v>2894</v>
      </c>
    </row>
    <row r="451" spans="1:11" x14ac:dyDescent="0.2">
      <c r="A451" s="4" t="s">
        <v>3748</v>
      </c>
      <c r="B451" s="4" t="s">
        <v>1498</v>
      </c>
      <c r="C451" s="4" t="s">
        <v>2790</v>
      </c>
      <c r="D451" s="4" t="s">
        <v>3749</v>
      </c>
      <c r="E451" s="4" t="s">
        <v>3750</v>
      </c>
      <c r="F451" s="4" t="s">
        <v>1975</v>
      </c>
      <c r="G451" s="4" t="s">
        <v>48</v>
      </c>
      <c r="H451" s="4" t="s">
        <v>1939</v>
      </c>
      <c r="I451" s="4" t="s">
        <v>1997</v>
      </c>
      <c r="J451" s="4" t="s">
        <v>69</v>
      </c>
      <c r="K451" s="4" t="s">
        <v>3751</v>
      </c>
    </row>
    <row r="452" spans="1:11" x14ac:dyDescent="0.2">
      <c r="A452" s="4" t="s">
        <v>3752</v>
      </c>
      <c r="B452" s="4" t="s">
        <v>1569</v>
      </c>
      <c r="C452" s="4" t="s">
        <v>3616</v>
      </c>
      <c r="D452" s="4" t="s">
        <v>3753</v>
      </c>
      <c r="E452" s="4" t="s">
        <v>3754</v>
      </c>
      <c r="F452" s="4" t="s">
        <v>2018</v>
      </c>
      <c r="G452" s="4" t="s">
        <v>49</v>
      </c>
      <c r="H452" s="4" t="s">
        <v>1939</v>
      </c>
      <c r="I452" s="4" t="s">
        <v>1940</v>
      </c>
      <c r="J452" s="4" t="s">
        <v>72</v>
      </c>
      <c r="K452" s="4" t="s">
        <v>3242</v>
      </c>
    </row>
    <row r="453" spans="1:11" x14ac:dyDescent="0.2">
      <c r="A453" s="4" t="s">
        <v>3755</v>
      </c>
      <c r="B453" s="4" t="s">
        <v>1498</v>
      </c>
      <c r="C453" s="4" t="s">
        <v>2175</v>
      </c>
      <c r="D453" s="4" t="s">
        <v>3756</v>
      </c>
      <c r="E453" s="4" t="s">
        <v>2648</v>
      </c>
      <c r="F453" s="4" t="s">
        <v>2043</v>
      </c>
      <c r="G453" s="4" t="s">
        <v>48</v>
      </c>
      <c r="H453" s="4" t="s">
        <v>1939</v>
      </c>
      <c r="I453" s="4" t="s">
        <v>1997</v>
      </c>
      <c r="J453" s="4" t="s">
        <v>70</v>
      </c>
      <c r="K453" s="4" t="s">
        <v>3257</v>
      </c>
    </row>
    <row r="454" spans="1:11" x14ac:dyDescent="0.2">
      <c r="A454" s="4" t="s">
        <v>3757</v>
      </c>
      <c r="B454" s="4" t="s">
        <v>1639</v>
      </c>
      <c r="C454" s="4" t="s">
        <v>2559</v>
      </c>
      <c r="D454" s="4" t="s">
        <v>3758</v>
      </c>
      <c r="E454" s="4" t="s">
        <v>3759</v>
      </c>
      <c r="F454" s="4" t="s">
        <v>2159</v>
      </c>
      <c r="G454" s="4" t="s">
        <v>48</v>
      </c>
      <c r="H454" s="4" t="s">
        <v>1939</v>
      </c>
      <c r="I454" s="4" t="s">
        <v>1940</v>
      </c>
      <c r="J454" s="4" t="s">
        <v>72</v>
      </c>
      <c r="K454" s="4" t="s">
        <v>3760</v>
      </c>
    </row>
    <row r="455" spans="1:11" x14ac:dyDescent="0.2">
      <c r="A455" s="4" t="s">
        <v>3761</v>
      </c>
      <c r="B455" s="4" t="s">
        <v>1702</v>
      </c>
      <c r="C455" s="4" t="s">
        <v>2750</v>
      </c>
      <c r="D455" s="4" t="s">
        <v>3762</v>
      </c>
      <c r="E455" s="4" t="s">
        <v>3763</v>
      </c>
      <c r="F455" s="4" t="s">
        <v>1938</v>
      </c>
      <c r="G455" s="4" t="s">
        <v>48</v>
      </c>
      <c r="H455" s="4" t="s">
        <v>1939</v>
      </c>
      <c r="I455" s="4" t="s">
        <v>1959</v>
      </c>
      <c r="J455" s="4" t="s">
        <v>72</v>
      </c>
      <c r="K455" s="4" t="s">
        <v>2400</v>
      </c>
    </row>
    <row r="456" spans="1:11" x14ac:dyDescent="0.2">
      <c r="A456" s="4" t="s">
        <v>3764</v>
      </c>
      <c r="B456" s="4" t="s">
        <v>1720</v>
      </c>
      <c r="C456" s="4" t="s">
        <v>2397</v>
      </c>
      <c r="D456" s="4" t="s">
        <v>3765</v>
      </c>
      <c r="E456" s="4" t="s">
        <v>3220</v>
      </c>
      <c r="F456" s="4" t="s">
        <v>2108</v>
      </c>
      <c r="G456" s="4" t="s">
        <v>50</v>
      </c>
      <c r="H456" s="4" t="s">
        <v>2057</v>
      </c>
      <c r="I456" s="4" t="s">
        <v>1969</v>
      </c>
      <c r="J456" s="4" t="s">
        <v>69</v>
      </c>
      <c r="K456" s="4" t="s">
        <v>3766</v>
      </c>
    </row>
    <row r="457" spans="1:11" x14ac:dyDescent="0.2">
      <c r="A457" s="4" t="s">
        <v>3767</v>
      </c>
      <c r="B457" s="4" t="s">
        <v>1517</v>
      </c>
      <c r="C457" s="4" t="s">
        <v>3768</v>
      </c>
      <c r="D457" s="4" t="s">
        <v>3769</v>
      </c>
      <c r="E457" s="4" t="s">
        <v>1818</v>
      </c>
      <c r="F457" s="4" t="s">
        <v>2043</v>
      </c>
      <c r="G457" s="4" t="s">
        <v>48</v>
      </c>
      <c r="H457" s="4" t="s">
        <v>1939</v>
      </c>
      <c r="I457" s="4" t="s">
        <v>1997</v>
      </c>
      <c r="J457" s="4" t="s">
        <v>69</v>
      </c>
      <c r="K457" s="4" t="s">
        <v>2889</v>
      </c>
    </row>
    <row r="458" spans="1:11" x14ac:dyDescent="0.2">
      <c r="A458" s="4" t="s">
        <v>3770</v>
      </c>
      <c r="B458" s="4" t="s">
        <v>1868</v>
      </c>
      <c r="C458" s="4" t="s">
        <v>1967</v>
      </c>
      <c r="D458" s="4" t="s">
        <v>3771</v>
      </c>
      <c r="E458" s="4" t="s">
        <v>2497</v>
      </c>
      <c r="F458" s="4" t="s">
        <v>2367</v>
      </c>
      <c r="G458" s="4" t="s">
        <v>49</v>
      </c>
      <c r="H458" s="4" t="s">
        <v>1939</v>
      </c>
      <c r="I458" s="4" t="s">
        <v>1969</v>
      </c>
      <c r="J458" s="4" t="s">
        <v>72</v>
      </c>
      <c r="K458" s="4" t="s">
        <v>2866</v>
      </c>
    </row>
    <row r="459" spans="1:11" x14ac:dyDescent="0.2">
      <c r="A459" s="4" t="s">
        <v>3772</v>
      </c>
      <c r="B459" s="4" t="s">
        <v>1732</v>
      </c>
      <c r="C459" s="4" t="s">
        <v>2689</v>
      </c>
      <c r="D459" s="4" t="s">
        <v>3773</v>
      </c>
      <c r="E459" s="4" t="s">
        <v>3774</v>
      </c>
      <c r="F459" s="4" t="s">
        <v>1952</v>
      </c>
      <c r="G459" s="4" t="s">
        <v>48</v>
      </c>
      <c r="H459" s="4" t="s">
        <v>1939</v>
      </c>
      <c r="I459" s="4" t="s">
        <v>1940</v>
      </c>
      <c r="J459" s="4" t="s">
        <v>70</v>
      </c>
      <c r="K459" s="4" t="s">
        <v>3775</v>
      </c>
    </row>
    <row r="460" spans="1:11" x14ac:dyDescent="0.2">
      <c r="A460" s="4" t="s">
        <v>3776</v>
      </c>
      <c r="B460" s="4" t="s">
        <v>1666</v>
      </c>
      <c r="C460" s="4" t="s">
        <v>3403</v>
      </c>
      <c r="D460" s="4" t="s">
        <v>3777</v>
      </c>
      <c r="E460" s="4" t="s">
        <v>3778</v>
      </c>
      <c r="F460" s="4" t="s">
        <v>2018</v>
      </c>
      <c r="G460" s="4" t="s">
        <v>48</v>
      </c>
      <c r="H460" s="4" t="s">
        <v>1939</v>
      </c>
      <c r="I460" s="4" t="s">
        <v>1997</v>
      </c>
      <c r="J460" s="4" t="s">
        <v>72</v>
      </c>
      <c r="K460" s="4" t="s">
        <v>3779</v>
      </c>
    </row>
    <row r="461" spans="1:11" x14ac:dyDescent="0.2">
      <c r="A461" s="4" t="s">
        <v>3780</v>
      </c>
      <c r="B461" s="4" t="s">
        <v>1746</v>
      </c>
      <c r="C461" s="4" t="s">
        <v>3252</v>
      </c>
      <c r="D461" s="4" t="s">
        <v>3781</v>
      </c>
      <c r="E461" s="4" t="s">
        <v>3782</v>
      </c>
      <c r="F461" s="4" t="s">
        <v>2032</v>
      </c>
      <c r="G461" s="4" t="s">
        <v>49</v>
      </c>
      <c r="H461" s="4" t="s">
        <v>1939</v>
      </c>
      <c r="I461" s="4" t="s">
        <v>1940</v>
      </c>
      <c r="J461" s="4" t="s">
        <v>69</v>
      </c>
      <c r="K461" s="4" t="s">
        <v>2995</v>
      </c>
    </row>
    <row r="462" spans="1:11" x14ac:dyDescent="0.2">
      <c r="A462" s="4" t="s">
        <v>3783</v>
      </c>
      <c r="B462" s="4" t="s">
        <v>1906</v>
      </c>
      <c r="C462" s="4" t="s">
        <v>3437</v>
      </c>
      <c r="D462" s="4" t="s">
        <v>3784</v>
      </c>
      <c r="E462" s="4" t="s">
        <v>1696</v>
      </c>
      <c r="F462" s="4" t="s">
        <v>1958</v>
      </c>
      <c r="G462" s="4" t="s">
        <v>48</v>
      </c>
      <c r="H462" s="4" t="s">
        <v>1939</v>
      </c>
      <c r="I462" s="4" t="s">
        <v>1997</v>
      </c>
      <c r="J462" s="4" t="s">
        <v>70</v>
      </c>
      <c r="K462" s="4" t="s">
        <v>3785</v>
      </c>
    </row>
    <row r="463" spans="1:11" x14ac:dyDescent="0.2">
      <c r="A463" s="4" t="s">
        <v>3786</v>
      </c>
      <c r="B463" s="4" t="s">
        <v>1808</v>
      </c>
      <c r="C463" s="4" t="s">
        <v>3787</v>
      </c>
      <c r="D463" s="4" t="s">
        <v>3788</v>
      </c>
      <c r="E463" s="4" t="s">
        <v>3789</v>
      </c>
      <c r="F463" s="4" t="s">
        <v>1938</v>
      </c>
      <c r="G463" s="4" t="s">
        <v>48</v>
      </c>
      <c r="H463" s="4" t="s">
        <v>1939</v>
      </c>
      <c r="I463" s="4" t="s">
        <v>1997</v>
      </c>
      <c r="J463" s="4" t="s">
        <v>69</v>
      </c>
      <c r="K463" s="4" t="s">
        <v>3790</v>
      </c>
    </row>
    <row r="464" spans="1:11" x14ac:dyDescent="0.2">
      <c r="A464" s="4" t="s">
        <v>3791</v>
      </c>
      <c r="B464" s="4" t="s">
        <v>1902</v>
      </c>
      <c r="C464" s="4" t="s">
        <v>2136</v>
      </c>
      <c r="D464" s="4" t="s">
        <v>3792</v>
      </c>
      <c r="E464" s="4" t="s">
        <v>3793</v>
      </c>
      <c r="F464" s="4" t="s">
        <v>1981</v>
      </c>
      <c r="G464" s="4" t="s">
        <v>48</v>
      </c>
      <c r="H464" s="4" t="s">
        <v>1939</v>
      </c>
      <c r="I464" s="4" t="s">
        <v>1959</v>
      </c>
      <c r="J464" s="4" t="s">
        <v>70</v>
      </c>
      <c r="K464" s="4" t="s">
        <v>2144</v>
      </c>
    </row>
    <row r="465" spans="1:11" x14ac:dyDescent="0.2">
      <c r="A465" s="4" t="s">
        <v>3794</v>
      </c>
      <c r="B465" s="4" t="s">
        <v>1588</v>
      </c>
      <c r="C465" s="4" t="s">
        <v>2886</v>
      </c>
      <c r="D465" s="4" t="s">
        <v>3795</v>
      </c>
      <c r="E465" s="4" t="s">
        <v>3796</v>
      </c>
      <c r="F465" s="4" t="s">
        <v>2367</v>
      </c>
      <c r="G465" s="4" t="s">
        <v>48</v>
      </c>
      <c r="H465" s="4" t="s">
        <v>1939</v>
      </c>
      <c r="I465" s="4" t="s">
        <v>1959</v>
      </c>
      <c r="J465" s="4" t="s">
        <v>70</v>
      </c>
      <c r="K465" s="4" t="s">
        <v>3797</v>
      </c>
    </row>
    <row r="466" spans="1:11" x14ac:dyDescent="0.2">
      <c r="A466" s="4" t="s">
        <v>3798</v>
      </c>
      <c r="B466" s="4" t="s">
        <v>1898</v>
      </c>
      <c r="C466" s="4" t="s">
        <v>3473</v>
      </c>
      <c r="D466" s="4" t="s">
        <v>3799</v>
      </c>
      <c r="E466" s="4" t="s">
        <v>1579</v>
      </c>
      <c r="F466" s="4" t="s">
        <v>2108</v>
      </c>
      <c r="G466" s="4" t="s">
        <v>49</v>
      </c>
      <c r="H466" s="4" t="s">
        <v>1939</v>
      </c>
      <c r="I466" s="4" t="s">
        <v>1940</v>
      </c>
      <c r="J466" s="4" t="s">
        <v>70</v>
      </c>
      <c r="K466" s="4" t="s">
        <v>2109</v>
      </c>
    </row>
    <row r="467" spans="1:11" x14ac:dyDescent="0.2">
      <c r="A467" s="4" t="s">
        <v>3800</v>
      </c>
      <c r="B467" s="4" t="s">
        <v>1651</v>
      </c>
      <c r="C467" s="4" t="s">
        <v>2495</v>
      </c>
      <c r="D467" s="4" t="s">
        <v>3801</v>
      </c>
      <c r="E467" s="4" t="s">
        <v>3802</v>
      </c>
      <c r="F467" s="4" t="s">
        <v>1981</v>
      </c>
      <c r="G467" s="4" t="s">
        <v>48</v>
      </c>
      <c r="H467" s="4" t="s">
        <v>1939</v>
      </c>
      <c r="I467" s="4" t="s">
        <v>1997</v>
      </c>
      <c r="J467" s="4" t="s">
        <v>72</v>
      </c>
      <c r="K467" s="4" t="s">
        <v>3803</v>
      </c>
    </row>
    <row r="468" spans="1:11" x14ac:dyDescent="0.2">
      <c r="A468" s="4" t="s">
        <v>3804</v>
      </c>
      <c r="B468" s="4" t="s">
        <v>1677</v>
      </c>
      <c r="C468" s="4" t="s">
        <v>3805</v>
      </c>
      <c r="D468" s="4" t="s">
        <v>3806</v>
      </c>
      <c r="E468" s="4" t="s">
        <v>2177</v>
      </c>
      <c r="F468" s="4" t="s">
        <v>2217</v>
      </c>
      <c r="G468" s="4" t="s">
        <v>49</v>
      </c>
      <c r="H468" s="4" t="s">
        <v>1939</v>
      </c>
      <c r="I468" s="4" t="s">
        <v>1969</v>
      </c>
      <c r="J468" s="4" t="s">
        <v>69</v>
      </c>
      <c r="K468" s="4" t="s">
        <v>3356</v>
      </c>
    </row>
    <row r="469" spans="1:11" x14ac:dyDescent="0.2">
      <c r="A469" s="4" t="s">
        <v>3807</v>
      </c>
      <c r="B469" s="4" t="s">
        <v>1688</v>
      </c>
      <c r="C469" s="4" t="s">
        <v>3808</v>
      </c>
      <c r="D469" s="4" t="s">
        <v>3809</v>
      </c>
      <c r="E469" s="4" t="s">
        <v>1859</v>
      </c>
      <c r="F469" s="4" t="s">
        <v>1981</v>
      </c>
      <c r="G469" s="4" t="s">
        <v>48</v>
      </c>
      <c r="H469" s="4" t="s">
        <v>1939</v>
      </c>
      <c r="I469" s="4" t="s">
        <v>1997</v>
      </c>
      <c r="J469" s="4" t="s">
        <v>70</v>
      </c>
      <c r="K469" s="4" t="s">
        <v>3810</v>
      </c>
    </row>
    <row r="470" spans="1:11" x14ac:dyDescent="0.2">
      <c r="A470" s="4" t="s">
        <v>3811</v>
      </c>
      <c r="B470" s="4" t="s">
        <v>1596</v>
      </c>
      <c r="C470" s="4" t="s">
        <v>3812</v>
      </c>
      <c r="D470" s="4" t="s">
        <v>3813</v>
      </c>
      <c r="E470" s="4" t="s">
        <v>1874</v>
      </c>
      <c r="F470" s="4" t="s">
        <v>2002</v>
      </c>
      <c r="G470" s="4" t="s">
        <v>50</v>
      </c>
      <c r="H470" s="4" t="s">
        <v>1939</v>
      </c>
      <c r="I470" s="4" t="s">
        <v>1969</v>
      </c>
      <c r="J470" s="4" t="s">
        <v>72</v>
      </c>
      <c r="K470" s="4" t="s">
        <v>3814</v>
      </c>
    </row>
    <row r="471" spans="1:11" x14ac:dyDescent="0.2">
      <c r="A471" s="4" t="s">
        <v>3815</v>
      </c>
      <c r="B471" s="4" t="s">
        <v>1684</v>
      </c>
      <c r="C471" s="4" t="s">
        <v>2533</v>
      </c>
      <c r="D471" s="4" t="s">
        <v>3816</v>
      </c>
      <c r="E471" s="4" t="s">
        <v>3817</v>
      </c>
      <c r="F471" s="4" t="s">
        <v>2002</v>
      </c>
      <c r="G471" s="4" t="s">
        <v>48</v>
      </c>
      <c r="H471" s="4" t="s">
        <v>1939</v>
      </c>
      <c r="I471" s="4" t="s">
        <v>1940</v>
      </c>
      <c r="J471" s="4" t="s">
        <v>70</v>
      </c>
      <c r="K471" s="4" t="s">
        <v>1947</v>
      </c>
    </row>
    <row r="472" spans="1:11" x14ac:dyDescent="0.2">
      <c r="A472" s="4" t="s">
        <v>3818</v>
      </c>
      <c r="B472" s="4" t="s">
        <v>1576</v>
      </c>
      <c r="C472" s="4" t="s">
        <v>3819</v>
      </c>
      <c r="D472" s="4" t="s">
        <v>3820</v>
      </c>
      <c r="E472" s="4" t="s">
        <v>3821</v>
      </c>
      <c r="F472" s="4" t="s">
        <v>2043</v>
      </c>
      <c r="G472" s="4" t="s">
        <v>49</v>
      </c>
      <c r="H472" s="4" t="s">
        <v>1939</v>
      </c>
      <c r="I472" s="4" t="s">
        <v>1997</v>
      </c>
      <c r="J472" s="4" t="s">
        <v>69</v>
      </c>
      <c r="K472" s="4" t="s">
        <v>3822</v>
      </c>
    </row>
    <row r="473" spans="1:11" x14ac:dyDescent="0.2">
      <c r="A473" s="4" t="s">
        <v>3823</v>
      </c>
      <c r="B473" s="4" t="s">
        <v>1624</v>
      </c>
      <c r="C473" s="4" t="s">
        <v>2762</v>
      </c>
      <c r="D473" s="4" t="s">
        <v>3824</v>
      </c>
      <c r="E473" s="4" t="s">
        <v>2237</v>
      </c>
      <c r="F473" s="4" t="s">
        <v>2032</v>
      </c>
      <c r="G473" s="4" t="s">
        <v>48</v>
      </c>
      <c r="H473" s="4" t="s">
        <v>1939</v>
      </c>
      <c r="I473" s="4" t="s">
        <v>1959</v>
      </c>
      <c r="J473" s="4" t="s">
        <v>70</v>
      </c>
      <c r="K473" s="4" t="s">
        <v>3825</v>
      </c>
    </row>
    <row r="474" spans="1:11" x14ac:dyDescent="0.2">
      <c r="A474" s="4" t="s">
        <v>3826</v>
      </c>
      <c r="B474" s="4" t="s">
        <v>1739</v>
      </c>
      <c r="C474" s="4" t="s">
        <v>2215</v>
      </c>
      <c r="D474" s="4" t="s">
        <v>3827</v>
      </c>
      <c r="E474" s="4" t="s">
        <v>1671</v>
      </c>
      <c r="F474" s="4" t="s">
        <v>1992</v>
      </c>
      <c r="G474" s="4" t="s">
        <v>48</v>
      </c>
      <c r="H474" s="4" t="s">
        <v>1939</v>
      </c>
      <c r="I474" s="4" t="s">
        <v>1997</v>
      </c>
      <c r="J474" s="4" t="s">
        <v>69</v>
      </c>
      <c r="K474" s="4" t="s">
        <v>3828</v>
      </c>
    </row>
    <row r="475" spans="1:11" x14ac:dyDescent="0.2">
      <c r="A475" s="4" t="s">
        <v>3829</v>
      </c>
      <c r="B475" s="4" t="s">
        <v>1632</v>
      </c>
      <c r="C475" s="4" t="s">
        <v>3176</v>
      </c>
      <c r="D475" s="4" t="s">
        <v>3830</v>
      </c>
      <c r="E475" s="4" t="s">
        <v>1536</v>
      </c>
      <c r="F475" s="4" t="s">
        <v>2108</v>
      </c>
      <c r="G475" s="4" t="s">
        <v>48</v>
      </c>
      <c r="H475" s="4" t="s">
        <v>1939</v>
      </c>
      <c r="I475" s="4" t="s">
        <v>1959</v>
      </c>
      <c r="J475" s="4" t="s">
        <v>69</v>
      </c>
      <c r="K475" s="4" t="s">
        <v>3831</v>
      </c>
    </row>
    <row r="476" spans="1:11" x14ac:dyDescent="0.2">
      <c r="A476" s="4" t="s">
        <v>3832</v>
      </c>
      <c r="B476" s="4" t="s">
        <v>1517</v>
      </c>
      <c r="C476" s="4" t="s">
        <v>2355</v>
      </c>
      <c r="D476" s="4" t="s">
        <v>3833</v>
      </c>
      <c r="E476" s="4" t="s">
        <v>3834</v>
      </c>
      <c r="F476" s="4" t="s">
        <v>1992</v>
      </c>
      <c r="G476" s="4" t="s">
        <v>48</v>
      </c>
      <c r="H476" s="4" t="s">
        <v>1939</v>
      </c>
      <c r="I476" s="4" t="s">
        <v>1959</v>
      </c>
      <c r="J476" s="4" t="s">
        <v>69</v>
      </c>
      <c r="K476" s="4" t="s">
        <v>3835</v>
      </c>
    </row>
    <row r="477" spans="1:11" x14ac:dyDescent="0.2">
      <c r="A477" s="4" t="s">
        <v>3836</v>
      </c>
      <c r="B477" s="4" t="s">
        <v>1790</v>
      </c>
      <c r="C477" s="4" t="s">
        <v>3837</v>
      </c>
      <c r="D477" s="4" t="s">
        <v>3838</v>
      </c>
      <c r="E477" s="4" t="s">
        <v>3839</v>
      </c>
      <c r="F477" s="4" t="s">
        <v>2159</v>
      </c>
      <c r="G477" s="4" t="s">
        <v>48</v>
      </c>
      <c r="H477" s="4" t="s">
        <v>1939</v>
      </c>
      <c r="I477" s="4" t="s">
        <v>1969</v>
      </c>
      <c r="J477" s="4" t="s">
        <v>70</v>
      </c>
      <c r="K477" s="4" t="s">
        <v>1965</v>
      </c>
    </row>
    <row r="478" spans="1:11" x14ac:dyDescent="0.2">
      <c r="A478" s="4" t="s">
        <v>3840</v>
      </c>
      <c r="B478" s="4" t="s">
        <v>1868</v>
      </c>
      <c r="C478" s="4" t="s">
        <v>1967</v>
      </c>
      <c r="D478" s="4" t="s">
        <v>3841</v>
      </c>
      <c r="E478" s="4" t="s">
        <v>3842</v>
      </c>
      <c r="F478" s="4" t="s">
        <v>2198</v>
      </c>
      <c r="G478" s="4" t="s">
        <v>48</v>
      </c>
      <c r="H478" s="4" t="s">
        <v>1939</v>
      </c>
      <c r="I478" s="4" t="s">
        <v>1997</v>
      </c>
      <c r="J478" s="4" t="s">
        <v>70</v>
      </c>
      <c r="K478" s="4" t="s">
        <v>3843</v>
      </c>
    </row>
    <row r="479" spans="1:11" x14ac:dyDescent="0.2">
      <c r="A479" s="4" t="s">
        <v>3844</v>
      </c>
      <c r="B479" s="4" t="s">
        <v>1832</v>
      </c>
      <c r="C479" s="4" t="s">
        <v>2089</v>
      </c>
      <c r="D479" s="4" t="s">
        <v>3845</v>
      </c>
      <c r="E479" s="4" t="s">
        <v>2207</v>
      </c>
      <c r="F479" s="4" t="s">
        <v>2128</v>
      </c>
      <c r="G479" s="4" t="s">
        <v>49</v>
      </c>
      <c r="H479" s="4" t="s">
        <v>1939</v>
      </c>
      <c r="I479" s="4" t="s">
        <v>1959</v>
      </c>
      <c r="J479" s="4" t="s">
        <v>69</v>
      </c>
      <c r="K479" s="4" t="s">
        <v>3846</v>
      </c>
    </row>
    <row r="480" spans="1:11" x14ac:dyDescent="0.2">
      <c r="A480" s="4" t="s">
        <v>3847</v>
      </c>
      <c r="B480" s="4" t="s">
        <v>1576</v>
      </c>
      <c r="C480" s="4" t="s">
        <v>3848</v>
      </c>
      <c r="D480" s="4" t="s">
        <v>3849</v>
      </c>
      <c r="E480" s="4" t="s">
        <v>3850</v>
      </c>
      <c r="F480" s="4" t="s">
        <v>1938</v>
      </c>
      <c r="G480" s="4" t="s">
        <v>48</v>
      </c>
      <c r="H480" s="4" t="s">
        <v>1939</v>
      </c>
      <c r="I480" s="4" t="s">
        <v>1997</v>
      </c>
      <c r="J480" s="4" t="s">
        <v>72</v>
      </c>
      <c r="K480" s="4" t="s">
        <v>3835</v>
      </c>
    </row>
    <row r="481" spans="1:11" x14ac:dyDescent="0.2">
      <c r="A481" s="4" t="s">
        <v>3851</v>
      </c>
      <c r="B481" s="4" t="s">
        <v>1742</v>
      </c>
      <c r="C481" s="4" t="s">
        <v>2015</v>
      </c>
      <c r="D481" s="4" t="s">
        <v>3852</v>
      </c>
      <c r="E481" s="4" t="s">
        <v>3853</v>
      </c>
      <c r="F481" s="4" t="s">
        <v>1938</v>
      </c>
      <c r="G481" s="4" t="s">
        <v>49</v>
      </c>
      <c r="H481" s="4" t="s">
        <v>1939</v>
      </c>
      <c r="I481" s="4" t="s">
        <v>1940</v>
      </c>
      <c r="J481" s="4" t="s">
        <v>69</v>
      </c>
      <c r="K481" s="4" t="s">
        <v>3854</v>
      </c>
    </row>
    <row r="482" spans="1:11" x14ac:dyDescent="0.2">
      <c r="A482" s="4" t="s">
        <v>3855</v>
      </c>
      <c r="B482" s="4" t="s">
        <v>1702</v>
      </c>
      <c r="C482" s="4" t="s">
        <v>2750</v>
      </c>
      <c r="D482" s="4" t="s">
        <v>3856</v>
      </c>
      <c r="E482" s="4" t="s">
        <v>3857</v>
      </c>
      <c r="F482" s="4" t="s">
        <v>1992</v>
      </c>
      <c r="G482" s="4" t="s">
        <v>48</v>
      </c>
      <c r="H482" s="4" t="s">
        <v>1939</v>
      </c>
      <c r="I482" s="4" t="s">
        <v>1997</v>
      </c>
      <c r="J482" s="4" t="s">
        <v>72</v>
      </c>
      <c r="K482" s="4" t="s">
        <v>3858</v>
      </c>
    </row>
    <row r="483" spans="1:11" x14ac:dyDescent="0.2">
      <c r="A483" s="4" t="s">
        <v>3859</v>
      </c>
      <c r="B483" s="4" t="s">
        <v>1872</v>
      </c>
      <c r="C483" s="4" t="s">
        <v>2364</v>
      </c>
      <c r="D483" s="4" t="s">
        <v>3860</v>
      </c>
      <c r="E483" s="4" t="s">
        <v>3861</v>
      </c>
      <c r="F483" s="4" t="s">
        <v>2032</v>
      </c>
      <c r="G483" s="4" t="s">
        <v>48</v>
      </c>
      <c r="H483" s="4" t="s">
        <v>1939</v>
      </c>
      <c r="I483" s="4" t="s">
        <v>1959</v>
      </c>
      <c r="J483" s="4" t="s">
        <v>72</v>
      </c>
      <c r="K483" s="4" t="s">
        <v>2449</v>
      </c>
    </row>
    <row r="484" spans="1:11" x14ac:dyDescent="0.2">
      <c r="A484" s="4" t="s">
        <v>3862</v>
      </c>
      <c r="B484" s="4" t="s">
        <v>1632</v>
      </c>
      <c r="C484" s="4" t="s">
        <v>3863</v>
      </c>
      <c r="D484" s="4" t="s">
        <v>3864</v>
      </c>
      <c r="E484" s="4" t="s">
        <v>3865</v>
      </c>
      <c r="F484" s="4" t="s">
        <v>2002</v>
      </c>
      <c r="G484" s="4" t="s">
        <v>49</v>
      </c>
      <c r="H484" s="4" t="s">
        <v>1939</v>
      </c>
      <c r="I484" s="4" t="s">
        <v>1997</v>
      </c>
      <c r="J484" s="4" t="s">
        <v>72</v>
      </c>
      <c r="K484" s="4" t="s">
        <v>3866</v>
      </c>
    </row>
    <row r="485" spans="1:11" x14ac:dyDescent="0.2">
      <c r="A485" s="4" t="s">
        <v>3867</v>
      </c>
      <c r="B485" s="4" t="s">
        <v>1562</v>
      </c>
      <c r="C485" s="4" t="s">
        <v>3277</v>
      </c>
      <c r="D485" s="4" t="s">
        <v>3868</v>
      </c>
      <c r="E485" s="4" t="s">
        <v>3869</v>
      </c>
      <c r="F485" s="4" t="s">
        <v>2002</v>
      </c>
      <c r="G485" s="4" t="s">
        <v>48</v>
      </c>
      <c r="H485" s="4" t="s">
        <v>1939</v>
      </c>
      <c r="I485" s="4" t="s">
        <v>1940</v>
      </c>
      <c r="J485" s="4" t="s">
        <v>72</v>
      </c>
      <c r="K485" s="4" t="s">
        <v>3870</v>
      </c>
    </row>
    <row r="486" spans="1:11" x14ac:dyDescent="0.2">
      <c r="A486" s="4" t="s">
        <v>3871</v>
      </c>
      <c r="B486" s="4" t="s">
        <v>1883</v>
      </c>
      <c r="C486" s="4" t="s">
        <v>2125</v>
      </c>
      <c r="D486" s="4" t="s">
        <v>3872</v>
      </c>
      <c r="E486" s="4" t="s">
        <v>3873</v>
      </c>
      <c r="F486" s="4" t="s">
        <v>2217</v>
      </c>
      <c r="G486" s="4" t="s">
        <v>49</v>
      </c>
      <c r="H486" s="4" t="s">
        <v>1939</v>
      </c>
      <c r="I486" s="4" t="s">
        <v>1959</v>
      </c>
      <c r="J486" s="4" t="s">
        <v>72</v>
      </c>
      <c r="K486" s="4" t="s">
        <v>3814</v>
      </c>
    </row>
    <row r="487" spans="1:11" x14ac:dyDescent="0.2">
      <c r="A487" s="4" t="s">
        <v>3874</v>
      </c>
      <c r="B487" s="4" t="s">
        <v>1861</v>
      </c>
      <c r="C487" s="4" t="s">
        <v>2837</v>
      </c>
      <c r="D487" s="4" t="s">
        <v>3875</v>
      </c>
      <c r="E487" s="4" t="s">
        <v>3876</v>
      </c>
      <c r="F487" s="4" t="s">
        <v>2367</v>
      </c>
      <c r="G487" s="4" t="s">
        <v>48</v>
      </c>
      <c r="H487" s="4" t="s">
        <v>1939</v>
      </c>
      <c r="I487" s="4" t="s">
        <v>1969</v>
      </c>
      <c r="J487" s="4" t="s">
        <v>69</v>
      </c>
      <c r="K487" s="4" t="s">
        <v>3877</v>
      </c>
    </row>
    <row r="488" spans="1:11" x14ac:dyDescent="0.2">
      <c r="A488" s="4" t="s">
        <v>3878</v>
      </c>
      <c r="B488" s="4" t="s">
        <v>1879</v>
      </c>
      <c r="C488" s="4" t="s">
        <v>3362</v>
      </c>
      <c r="D488" s="4" t="s">
        <v>3879</v>
      </c>
      <c r="E488" s="4" t="s">
        <v>3880</v>
      </c>
      <c r="F488" s="4" t="s">
        <v>1958</v>
      </c>
      <c r="G488" s="4" t="s">
        <v>49</v>
      </c>
      <c r="H488" s="4" t="s">
        <v>1939</v>
      </c>
      <c r="I488" s="4" t="s">
        <v>1997</v>
      </c>
      <c r="J488" s="4" t="s">
        <v>72</v>
      </c>
      <c r="K488" s="4" t="s">
        <v>2581</v>
      </c>
    </row>
    <row r="489" spans="1:11" x14ac:dyDescent="0.2">
      <c r="A489" s="4" t="s">
        <v>3881</v>
      </c>
      <c r="B489" s="4" t="s">
        <v>1545</v>
      </c>
      <c r="C489" s="4" t="s">
        <v>2521</v>
      </c>
      <c r="D489" s="4" t="s">
        <v>3882</v>
      </c>
      <c r="E489" s="4" t="s">
        <v>3883</v>
      </c>
      <c r="F489" s="4" t="s">
        <v>2102</v>
      </c>
      <c r="G489" s="4" t="s">
        <v>49</v>
      </c>
      <c r="H489" s="4" t="s">
        <v>1939</v>
      </c>
      <c r="I489" s="4" t="s">
        <v>1969</v>
      </c>
      <c r="J489" s="4" t="s">
        <v>70</v>
      </c>
      <c r="K489" s="4" t="s">
        <v>3678</v>
      </c>
    </row>
    <row r="490" spans="1:11" x14ac:dyDescent="0.2">
      <c r="A490" s="4" t="s">
        <v>3884</v>
      </c>
      <c r="B490" s="4" t="s">
        <v>1855</v>
      </c>
      <c r="C490" s="4" t="s">
        <v>2849</v>
      </c>
      <c r="D490" s="4" t="s">
        <v>3885</v>
      </c>
      <c r="E490" s="4" t="s">
        <v>3180</v>
      </c>
      <c r="F490" s="4" t="s">
        <v>1975</v>
      </c>
      <c r="G490" s="4" t="s">
        <v>48</v>
      </c>
      <c r="H490" s="4" t="s">
        <v>1939</v>
      </c>
      <c r="I490" s="4" t="s">
        <v>1969</v>
      </c>
      <c r="J490" s="4" t="s">
        <v>72</v>
      </c>
      <c r="K490" s="4" t="s">
        <v>2675</v>
      </c>
    </row>
    <row r="491" spans="1:11" x14ac:dyDescent="0.2">
      <c r="A491" s="4" t="s">
        <v>3886</v>
      </c>
      <c r="B491" s="4" t="s">
        <v>1624</v>
      </c>
      <c r="C491" s="4" t="s">
        <v>3887</v>
      </c>
      <c r="D491" s="4" t="s">
        <v>3888</v>
      </c>
      <c r="E491" s="4" t="s">
        <v>3889</v>
      </c>
      <c r="F491" s="4" t="s">
        <v>2002</v>
      </c>
      <c r="G491" s="4" t="s">
        <v>48</v>
      </c>
      <c r="H491" s="4" t="s">
        <v>1939</v>
      </c>
      <c r="I491" s="4" t="s">
        <v>1969</v>
      </c>
      <c r="J491" s="4" t="s">
        <v>70</v>
      </c>
      <c r="K491" s="4" t="s">
        <v>3223</v>
      </c>
    </row>
    <row r="492" spans="1:11" x14ac:dyDescent="0.2">
      <c r="A492" s="4" t="s">
        <v>3890</v>
      </c>
      <c r="B492" s="4" t="s">
        <v>1643</v>
      </c>
      <c r="C492" s="4" t="s">
        <v>2141</v>
      </c>
      <c r="D492" s="4" t="s">
        <v>3891</v>
      </c>
      <c r="E492" s="4" t="s">
        <v>3892</v>
      </c>
      <c r="F492" s="4" t="s">
        <v>2193</v>
      </c>
      <c r="G492" s="4" t="s">
        <v>48</v>
      </c>
      <c r="H492" s="4" t="s">
        <v>1939</v>
      </c>
      <c r="I492" s="4" t="s">
        <v>1997</v>
      </c>
      <c r="J492" s="4" t="s">
        <v>70</v>
      </c>
      <c r="K492" s="4" t="s">
        <v>3893</v>
      </c>
    </row>
    <row r="493" spans="1:11" x14ac:dyDescent="0.2">
      <c r="A493" s="4" t="s">
        <v>3894</v>
      </c>
      <c r="B493" s="4" t="s">
        <v>1875</v>
      </c>
      <c r="C493" s="4" t="s">
        <v>2240</v>
      </c>
      <c r="D493" s="4" t="s">
        <v>3895</v>
      </c>
      <c r="E493" s="4" t="s">
        <v>3065</v>
      </c>
      <c r="F493" s="4" t="s">
        <v>2159</v>
      </c>
      <c r="G493" s="4" t="s">
        <v>49</v>
      </c>
      <c r="H493" s="4" t="s">
        <v>1939</v>
      </c>
      <c r="I493" s="4" t="s">
        <v>1997</v>
      </c>
      <c r="J493" s="4" t="s">
        <v>72</v>
      </c>
      <c r="K493" s="4" t="s">
        <v>3896</v>
      </c>
    </row>
    <row r="494" spans="1:11" x14ac:dyDescent="0.2">
      <c r="A494" s="4" t="s">
        <v>3897</v>
      </c>
      <c r="B494" s="4" t="s">
        <v>1702</v>
      </c>
      <c r="C494" s="4" t="s">
        <v>2750</v>
      </c>
      <c r="D494" s="4" t="s">
        <v>3898</v>
      </c>
      <c r="E494" s="4" t="s">
        <v>3899</v>
      </c>
      <c r="F494" s="4" t="s">
        <v>1958</v>
      </c>
      <c r="G494" s="4" t="s">
        <v>48</v>
      </c>
      <c r="H494" s="4" t="s">
        <v>1939</v>
      </c>
      <c r="I494" s="4" t="s">
        <v>1997</v>
      </c>
      <c r="J494" s="4" t="s">
        <v>70</v>
      </c>
      <c r="K494" s="4" t="s">
        <v>2675</v>
      </c>
    </row>
    <row r="495" spans="1:11" x14ac:dyDescent="0.2">
      <c r="A495" s="4" t="s">
        <v>3900</v>
      </c>
      <c r="B495" s="4" t="s">
        <v>1790</v>
      </c>
      <c r="C495" s="4" t="s">
        <v>2065</v>
      </c>
      <c r="D495" s="4" t="s">
        <v>3901</v>
      </c>
      <c r="E495" s="4" t="s">
        <v>2945</v>
      </c>
      <c r="F495" s="4" t="s">
        <v>1946</v>
      </c>
      <c r="G495" s="4" t="s">
        <v>49</v>
      </c>
      <c r="H495" s="4" t="s">
        <v>1939</v>
      </c>
      <c r="I495" s="4" t="s">
        <v>1940</v>
      </c>
      <c r="J495" s="4" t="s">
        <v>69</v>
      </c>
      <c r="K495" s="4" t="s">
        <v>3843</v>
      </c>
    </row>
    <row r="496" spans="1:11" x14ac:dyDescent="0.2">
      <c r="A496" s="4" t="s">
        <v>3902</v>
      </c>
      <c r="B496" s="4" t="s">
        <v>1756</v>
      </c>
      <c r="C496" s="4" t="s">
        <v>3183</v>
      </c>
      <c r="D496" s="4" t="s">
        <v>3903</v>
      </c>
      <c r="E496" s="4" t="s">
        <v>3904</v>
      </c>
      <c r="F496" s="4" t="s">
        <v>2018</v>
      </c>
      <c r="G496" s="4" t="s">
        <v>49</v>
      </c>
      <c r="H496" s="4" t="s">
        <v>1939</v>
      </c>
      <c r="I496" s="4" t="s">
        <v>1997</v>
      </c>
      <c r="J496" s="4" t="s">
        <v>72</v>
      </c>
      <c r="K496" s="4" t="s">
        <v>3785</v>
      </c>
    </row>
    <row r="497" spans="1:11" x14ac:dyDescent="0.2">
      <c r="A497" s="4" t="s">
        <v>3905</v>
      </c>
      <c r="B497" s="4" t="s">
        <v>1498</v>
      </c>
      <c r="C497" s="4" t="s">
        <v>3906</v>
      </c>
      <c r="D497" s="4" t="s">
        <v>3907</v>
      </c>
      <c r="E497" s="4" t="s">
        <v>3908</v>
      </c>
      <c r="F497" s="4" t="s">
        <v>1981</v>
      </c>
      <c r="G497" s="4" t="s">
        <v>48</v>
      </c>
      <c r="H497" s="4" t="s">
        <v>1939</v>
      </c>
      <c r="I497" s="4" t="s">
        <v>1940</v>
      </c>
      <c r="J497" s="4" t="s">
        <v>69</v>
      </c>
      <c r="K497" s="4" t="s">
        <v>2400</v>
      </c>
    </row>
    <row r="498" spans="1:11" x14ac:dyDescent="0.2">
      <c r="A498" s="4" t="s">
        <v>3909</v>
      </c>
      <c r="B498" s="4" t="s">
        <v>1666</v>
      </c>
      <c r="C498" s="4" t="s">
        <v>3403</v>
      </c>
      <c r="D498" s="4" t="s">
        <v>3910</v>
      </c>
      <c r="E498" s="4" t="s">
        <v>3911</v>
      </c>
      <c r="F498" s="4" t="s">
        <v>2217</v>
      </c>
      <c r="G498" s="4" t="s">
        <v>49</v>
      </c>
      <c r="H498" s="4" t="s">
        <v>1939</v>
      </c>
      <c r="I498" s="4" t="s">
        <v>1997</v>
      </c>
      <c r="J498" s="4" t="s">
        <v>70</v>
      </c>
      <c r="K498" s="4" t="s">
        <v>2223</v>
      </c>
    </row>
    <row r="499" spans="1:11" x14ac:dyDescent="0.2">
      <c r="A499" s="4" t="s">
        <v>3912</v>
      </c>
      <c r="B499" s="4" t="s">
        <v>1695</v>
      </c>
      <c r="C499" s="4" t="s">
        <v>2475</v>
      </c>
      <c r="D499" s="4" t="s">
        <v>3913</v>
      </c>
      <c r="E499" s="4" t="s">
        <v>3914</v>
      </c>
      <c r="F499" s="4" t="s">
        <v>2002</v>
      </c>
      <c r="G499" s="4" t="s">
        <v>50</v>
      </c>
      <c r="H499" s="4" t="s">
        <v>2057</v>
      </c>
      <c r="I499" s="4" t="s">
        <v>1959</v>
      </c>
      <c r="J499" s="4" t="s">
        <v>70</v>
      </c>
      <c r="K499" s="4" t="s">
        <v>3622</v>
      </c>
    </row>
    <row r="500" spans="1:11" x14ac:dyDescent="0.2">
      <c r="A500" s="4" t="s">
        <v>3915</v>
      </c>
      <c r="B500" s="4" t="s">
        <v>1588</v>
      </c>
      <c r="C500" s="4" t="s">
        <v>2000</v>
      </c>
      <c r="D500" s="4" t="s">
        <v>3916</v>
      </c>
      <c r="E500" s="4" t="s">
        <v>3917</v>
      </c>
      <c r="F500" s="4" t="s">
        <v>2102</v>
      </c>
      <c r="G500" s="4" t="s">
        <v>49</v>
      </c>
      <c r="H500" s="4" t="s">
        <v>1939</v>
      </c>
      <c r="I500" s="4" t="s">
        <v>1959</v>
      </c>
      <c r="J500" s="4" t="s">
        <v>72</v>
      </c>
      <c r="K500" s="4" t="s">
        <v>3918</v>
      </c>
    </row>
    <row r="501" spans="1:11" x14ac:dyDescent="0.2">
      <c r="A501" s="4" t="s">
        <v>3919</v>
      </c>
      <c r="B501" s="4" t="s">
        <v>1651</v>
      </c>
      <c r="C501" s="4" t="s">
        <v>3695</v>
      </c>
      <c r="D501" s="4" t="s">
        <v>3920</v>
      </c>
      <c r="E501" s="4" t="s">
        <v>2912</v>
      </c>
      <c r="F501" s="4" t="s">
        <v>2367</v>
      </c>
      <c r="G501" s="4" t="s">
        <v>48</v>
      </c>
      <c r="H501" s="4" t="s">
        <v>1939</v>
      </c>
      <c r="I501" s="4" t="s">
        <v>1997</v>
      </c>
      <c r="J501" s="4" t="s">
        <v>70</v>
      </c>
      <c r="K501" s="4" t="s">
        <v>3921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0" customWidth="1"/>
    <col min="3" max="3" width="40" customWidth="1"/>
    <col min="4" max="4" width="16" customWidth="1"/>
    <col min="5" max="5" width="24" customWidth="1"/>
    <col min="6" max="6" width="18" customWidth="1"/>
    <col min="7" max="7" width="20" customWidth="1"/>
  </cols>
  <sheetData>
    <row r="1" spans="1:7" x14ac:dyDescent="0.2">
      <c r="A1" s="8" t="s">
        <v>1925</v>
      </c>
      <c r="B1" s="8" t="s">
        <v>1479</v>
      </c>
      <c r="C1" s="8" t="s">
        <v>3922</v>
      </c>
      <c r="D1" s="8" t="s">
        <v>3923</v>
      </c>
      <c r="E1" s="8" t="s">
        <v>3924</v>
      </c>
      <c r="F1" s="8" t="s">
        <v>3925</v>
      </c>
      <c r="G1" s="8" t="s">
        <v>3926</v>
      </c>
    </row>
    <row r="2" spans="1:7" x14ac:dyDescent="0.2">
      <c r="A2" s="4" t="s">
        <v>3033</v>
      </c>
      <c r="B2" s="4" t="s">
        <v>1491</v>
      </c>
      <c r="C2" s="4" t="s">
        <v>3927</v>
      </c>
      <c r="D2" s="4" t="s">
        <v>60</v>
      </c>
      <c r="E2" s="4" t="s">
        <v>2038</v>
      </c>
      <c r="F2" s="4">
        <v>375</v>
      </c>
      <c r="G2" s="4" t="s">
        <v>3928</v>
      </c>
    </row>
    <row r="3" spans="1:7" x14ac:dyDescent="0.2">
      <c r="A3" s="4" t="s">
        <v>3507</v>
      </c>
      <c r="B3" s="4" t="s">
        <v>1491</v>
      </c>
      <c r="C3" s="4" t="s">
        <v>3929</v>
      </c>
      <c r="D3" s="4" t="s">
        <v>64</v>
      </c>
      <c r="E3" s="4" t="s">
        <v>2008</v>
      </c>
      <c r="F3" s="4">
        <v>193</v>
      </c>
      <c r="G3" s="4" t="s">
        <v>3930</v>
      </c>
    </row>
    <row r="4" spans="1:7" x14ac:dyDescent="0.2">
      <c r="A4" s="4" t="s">
        <v>1943</v>
      </c>
      <c r="B4" s="4" t="s">
        <v>1498</v>
      </c>
      <c r="C4" s="4" t="s">
        <v>3931</v>
      </c>
      <c r="D4" s="4" t="s">
        <v>57</v>
      </c>
      <c r="E4" s="4" t="s">
        <v>2008</v>
      </c>
      <c r="F4" s="4">
        <v>84</v>
      </c>
      <c r="G4" s="4" t="s">
        <v>3932</v>
      </c>
    </row>
    <row r="5" spans="1:7" x14ac:dyDescent="0.2">
      <c r="A5" s="4" t="s">
        <v>2790</v>
      </c>
      <c r="B5" s="4" t="s">
        <v>1498</v>
      </c>
      <c r="C5" s="4" t="s">
        <v>3933</v>
      </c>
      <c r="D5" s="4" t="s">
        <v>61</v>
      </c>
      <c r="E5" s="4" t="s">
        <v>3934</v>
      </c>
      <c r="F5" s="4">
        <v>60</v>
      </c>
      <c r="G5" s="4" t="s">
        <v>3928</v>
      </c>
    </row>
    <row r="6" spans="1:7" x14ac:dyDescent="0.2">
      <c r="A6" s="4" t="s">
        <v>2175</v>
      </c>
      <c r="B6" s="4" t="s">
        <v>1498</v>
      </c>
      <c r="C6" s="4" t="s">
        <v>3935</v>
      </c>
      <c r="D6" s="4" t="s">
        <v>63</v>
      </c>
      <c r="E6" s="4" t="s">
        <v>2788</v>
      </c>
      <c r="F6" s="4">
        <v>93</v>
      </c>
      <c r="G6" s="4" t="s">
        <v>3928</v>
      </c>
    </row>
    <row r="7" spans="1:7" x14ac:dyDescent="0.2">
      <c r="A7" s="4" t="s">
        <v>3906</v>
      </c>
      <c r="B7" s="4" t="s">
        <v>1498</v>
      </c>
      <c r="C7" s="4" t="s">
        <v>3936</v>
      </c>
      <c r="D7" s="4" t="s">
        <v>65</v>
      </c>
      <c r="E7" s="4" t="s">
        <v>3937</v>
      </c>
      <c r="F7" s="4">
        <v>46</v>
      </c>
      <c r="G7" s="4" t="s">
        <v>3932</v>
      </c>
    </row>
    <row r="8" spans="1:7" x14ac:dyDescent="0.2">
      <c r="A8" s="4" t="s">
        <v>2230</v>
      </c>
      <c r="B8" s="4" t="s">
        <v>1505</v>
      </c>
      <c r="C8" s="4" t="s">
        <v>3938</v>
      </c>
      <c r="D8" s="4" t="s">
        <v>65</v>
      </c>
      <c r="E8" s="4" t="s">
        <v>3939</v>
      </c>
      <c r="F8" s="4">
        <v>16</v>
      </c>
      <c r="G8" s="4" t="s">
        <v>3928</v>
      </c>
    </row>
    <row r="9" spans="1:7" x14ac:dyDescent="0.2">
      <c r="A9" s="4" t="s">
        <v>2312</v>
      </c>
      <c r="B9" s="4" t="s">
        <v>1505</v>
      </c>
      <c r="C9" s="4" t="s">
        <v>3940</v>
      </c>
      <c r="D9" s="4" t="s">
        <v>61</v>
      </c>
      <c r="E9" s="4" t="s">
        <v>3941</v>
      </c>
      <c r="F9" s="4">
        <v>10</v>
      </c>
      <c r="G9" s="4" t="s">
        <v>3930</v>
      </c>
    </row>
    <row r="10" spans="1:7" x14ac:dyDescent="0.2">
      <c r="A10" s="4" t="s">
        <v>2628</v>
      </c>
      <c r="B10" s="4" t="s">
        <v>1511</v>
      </c>
      <c r="C10" s="4" t="s">
        <v>3942</v>
      </c>
      <c r="D10" s="4" t="s">
        <v>56</v>
      </c>
      <c r="E10" s="4" t="s">
        <v>2038</v>
      </c>
      <c r="F10" s="4">
        <v>63</v>
      </c>
      <c r="G10" s="4" t="s">
        <v>3928</v>
      </c>
    </row>
    <row r="11" spans="1:7" x14ac:dyDescent="0.2">
      <c r="A11" s="4" t="s">
        <v>3699</v>
      </c>
      <c r="B11" s="4" t="s">
        <v>1511</v>
      </c>
      <c r="C11" s="4" t="s">
        <v>3943</v>
      </c>
      <c r="D11" s="4" t="s">
        <v>58</v>
      </c>
      <c r="E11" s="4" t="s">
        <v>3944</v>
      </c>
      <c r="F11" s="4">
        <v>49</v>
      </c>
      <c r="G11" s="4" t="s">
        <v>3930</v>
      </c>
    </row>
    <row r="12" spans="1:7" x14ac:dyDescent="0.2">
      <c r="A12" s="4" t="s">
        <v>2167</v>
      </c>
      <c r="B12" s="4" t="s">
        <v>1511</v>
      </c>
      <c r="C12" s="4" t="s">
        <v>3945</v>
      </c>
      <c r="D12" s="4" t="s">
        <v>62</v>
      </c>
      <c r="E12" s="4" t="s">
        <v>2390</v>
      </c>
      <c r="F12" s="4">
        <v>58</v>
      </c>
      <c r="G12" s="4" t="s">
        <v>3932</v>
      </c>
    </row>
    <row r="13" spans="1:7" x14ac:dyDescent="0.2">
      <c r="A13" s="4" t="s">
        <v>3946</v>
      </c>
      <c r="B13" s="4" t="s">
        <v>1511</v>
      </c>
      <c r="C13" s="4" t="s">
        <v>3947</v>
      </c>
      <c r="D13" s="4" t="s">
        <v>58</v>
      </c>
      <c r="E13" s="4" t="s">
        <v>2183</v>
      </c>
      <c r="F13" s="4">
        <v>88</v>
      </c>
      <c r="G13" s="4" t="s">
        <v>3932</v>
      </c>
    </row>
    <row r="14" spans="1:7" x14ac:dyDescent="0.2">
      <c r="A14" s="4" t="s">
        <v>3948</v>
      </c>
      <c r="B14" s="4" t="s">
        <v>1511</v>
      </c>
      <c r="C14" s="4" t="s">
        <v>3949</v>
      </c>
      <c r="D14" s="4" t="s">
        <v>63</v>
      </c>
      <c r="E14" s="4" t="s">
        <v>2498</v>
      </c>
      <c r="F14" s="4">
        <v>72</v>
      </c>
      <c r="G14" s="4" t="s">
        <v>3930</v>
      </c>
    </row>
    <row r="15" spans="1:7" x14ac:dyDescent="0.2">
      <c r="A15" s="4" t="s">
        <v>2928</v>
      </c>
      <c r="B15" s="4" t="s">
        <v>1511</v>
      </c>
      <c r="C15" s="4" t="s">
        <v>3950</v>
      </c>
      <c r="D15" s="4" t="s">
        <v>61</v>
      </c>
      <c r="E15" s="4" t="s">
        <v>3745</v>
      </c>
      <c r="F15" s="4">
        <v>115</v>
      </c>
      <c r="G15" s="4" t="s">
        <v>3932</v>
      </c>
    </row>
    <row r="16" spans="1:7" x14ac:dyDescent="0.2">
      <c r="A16" s="4" t="s">
        <v>3768</v>
      </c>
      <c r="B16" s="4" t="s">
        <v>1517</v>
      </c>
      <c r="C16" s="4" t="s">
        <v>3951</v>
      </c>
      <c r="D16" s="4" t="s">
        <v>63</v>
      </c>
      <c r="E16" s="4" t="s">
        <v>3952</v>
      </c>
      <c r="F16" s="4">
        <v>14</v>
      </c>
      <c r="G16" s="4" t="s">
        <v>3932</v>
      </c>
    </row>
    <row r="17" spans="1:7" x14ac:dyDescent="0.2">
      <c r="A17" s="4" t="s">
        <v>2355</v>
      </c>
      <c r="B17" s="4" t="s">
        <v>1517</v>
      </c>
      <c r="C17" s="4" t="s">
        <v>3953</v>
      </c>
      <c r="D17" s="4" t="s">
        <v>64</v>
      </c>
      <c r="E17" s="4" t="s">
        <v>2724</v>
      </c>
      <c r="F17" s="4">
        <v>11</v>
      </c>
      <c r="G17" s="4" t="s">
        <v>3930</v>
      </c>
    </row>
    <row r="18" spans="1:7" x14ac:dyDescent="0.2">
      <c r="A18" s="4" t="s">
        <v>2274</v>
      </c>
      <c r="B18" s="4" t="s">
        <v>1522</v>
      </c>
      <c r="C18" s="4" t="s">
        <v>3954</v>
      </c>
      <c r="D18" s="4" t="s">
        <v>61</v>
      </c>
      <c r="E18" s="4" t="s">
        <v>3955</v>
      </c>
      <c r="F18" s="4">
        <v>218</v>
      </c>
      <c r="G18" s="4" t="s">
        <v>3930</v>
      </c>
    </row>
    <row r="19" spans="1:7" x14ac:dyDescent="0.2">
      <c r="A19" s="4" t="s">
        <v>2370</v>
      </c>
      <c r="B19" s="4" t="s">
        <v>1522</v>
      </c>
      <c r="C19" s="4" t="s">
        <v>3956</v>
      </c>
      <c r="D19" s="4" t="s">
        <v>60</v>
      </c>
      <c r="E19" s="4" t="s">
        <v>3957</v>
      </c>
      <c r="F19" s="4">
        <v>235</v>
      </c>
      <c r="G19" s="4" t="s">
        <v>3932</v>
      </c>
    </row>
    <row r="20" spans="1:7" x14ac:dyDescent="0.2">
      <c r="A20" s="4" t="s">
        <v>3958</v>
      </c>
      <c r="B20" s="4" t="s">
        <v>1525</v>
      </c>
      <c r="C20" s="4" t="s">
        <v>3959</v>
      </c>
      <c r="D20" s="4" t="s">
        <v>59</v>
      </c>
      <c r="E20" s="4" t="s">
        <v>2605</v>
      </c>
      <c r="F20" s="4">
        <v>82</v>
      </c>
      <c r="G20" s="4" t="s">
        <v>3932</v>
      </c>
    </row>
    <row r="21" spans="1:7" x14ac:dyDescent="0.2">
      <c r="A21" s="4" t="s">
        <v>3552</v>
      </c>
      <c r="B21" s="4" t="s">
        <v>1525</v>
      </c>
      <c r="C21" s="4" t="s">
        <v>3960</v>
      </c>
      <c r="D21" s="4" t="s">
        <v>62</v>
      </c>
      <c r="E21" s="4" t="s">
        <v>3320</v>
      </c>
      <c r="F21" s="4">
        <v>82</v>
      </c>
      <c r="G21" s="4" t="s">
        <v>3928</v>
      </c>
    </row>
    <row r="22" spans="1:7" x14ac:dyDescent="0.2">
      <c r="A22" s="4" t="s">
        <v>3961</v>
      </c>
      <c r="B22" s="4" t="s">
        <v>1525</v>
      </c>
      <c r="C22" s="4" t="s">
        <v>3962</v>
      </c>
      <c r="D22" s="4" t="s">
        <v>62</v>
      </c>
      <c r="E22" s="4" t="s">
        <v>3814</v>
      </c>
      <c r="F22" s="4">
        <v>66</v>
      </c>
      <c r="G22" s="4" t="s">
        <v>3928</v>
      </c>
    </row>
    <row r="23" spans="1:7" x14ac:dyDescent="0.2">
      <c r="A23" s="4" t="s">
        <v>2950</v>
      </c>
      <c r="B23" s="4" t="s">
        <v>1525</v>
      </c>
      <c r="C23" s="4" t="s">
        <v>3963</v>
      </c>
      <c r="D23" s="4" t="s">
        <v>60</v>
      </c>
      <c r="E23" s="4" t="s">
        <v>2013</v>
      </c>
      <c r="F23" s="4">
        <v>152</v>
      </c>
      <c r="G23" s="4" t="s">
        <v>3930</v>
      </c>
    </row>
    <row r="24" spans="1:7" x14ac:dyDescent="0.2">
      <c r="A24" s="4" t="s">
        <v>3073</v>
      </c>
      <c r="B24" s="4" t="s">
        <v>1531</v>
      </c>
      <c r="C24" s="4" t="s">
        <v>3964</v>
      </c>
      <c r="D24" s="4" t="s">
        <v>58</v>
      </c>
      <c r="E24" s="4" t="s">
        <v>2478</v>
      </c>
      <c r="F24" s="4">
        <v>8</v>
      </c>
      <c r="G24" s="4" t="s">
        <v>3932</v>
      </c>
    </row>
    <row r="25" spans="1:7" x14ac:dyDescent="0.2">
      <c r="A25" s="4" t="s">
        <v>2079</v>
      </c>
      <c r="B25" s="4" t="s">
        <v>1531</v>
      </c>
      <c r="C25" s="4" t="s">
        <v>3965</v>
      </c>
      <c r="D25" s="4" t="s">
        <v>60</v>
      </c>
      <c r="E25" s="4" t="s">
        <v>3966</v>
      </c>
      <c r="F25" s="4">
        <v>6</v>
      </c>
      <c r="G25" s="4" t="s">
        <v>3930</v>
      </c>
    </row>
    <row r="26" spans="1:7" x14ac:dyDescent="0.2">
      <c r="A26" s="4" t="s">
        <v>3967</v>
      </c>
      <c r="B26" s="4" t="s">
        <v>1531</v>
      </c>
      <c r="C26" s="4" t="s">
        <v>3968</v>
      </c>
      <c r="D26" s="4" t="s">
        <v>58</v>
      </c>
      <c r="E26" s="4" t="s">
        <v>3969</v>
      </c>
      <c r="F26" s="4">
        <v>9</v>
      </c>
      <c r="G26" s="4" t="s">
        <v>3928</v>
      </c>
    </row>
    <row r="27" spans="1:7" x14ac:dyDescent="0.2">
      <c r="A27" s="4" t="s">
        <v>3970</v>
      </c>
      <c r="B27" s="4" t="s">
        <v>1531</v>
      </c>
      <c r="C27" s="4" t="s">
        <v>3971</v>
      </c>
      <c r="D27" s="4" t="s">
        <v>58</v>
      </c>
      <c r="E27" s="4" t="s">
        <v>2336</v>
      </c>
      <c r="F27" s="4">
        <v>9</v>
      </c>
      <c r="G27" s="4" t="s">
        <v>3930</v>
      </c>
    </row>
    <row r="28" spans="1:7" x14ac:dyDescent="0.2">
      <c r="A28" s="4" t="s">
        <v>3497</v>
      </c>
      <c r="B28" s="4" t="s">
        <v>1531</v>
      </c>
      <c r="C28" s="4" t="s">
        <v>3972</v>
      </c>
      <c r="D28" s="4" t="s">
        <v>58</v>
      </c>
      <c r="E28" s="4" t="s">
        <v>2493</v>
      </c>
      <c r="F28" s="4">
        <v>7</v>
      </c>
      <c r="G28" s="4" t="s">
        <v>3932</v>
      </c>
    </row>
    <row r="29" spans="1:7" x14ac:dyDescent="0.2">
      <c r="A29" s="4" t="s">
        <v>2156</v>
      </c>
      <c r="B29" s="4" t="s">
        <v>1531</v>
      </c>
      <c r="C29" s="4" t="s">
        <v>3973</v>
      </c>
      <c r="D29" s="4" t="s">
        <v>59</v>
      </c>
      <c r="E29" s="4" t="s">
        <v>2082</v>
      </c>
      <c r="F29" s="4">
        <v>9</v>
      </c>
      <c r="G29" s="4" t="s">
        <v>3928</v>
      </c>
    </row>
    <row r="30" spans="1:7" x14ac:dyDescent="0.2">
      <c r="A30" s="4" t="s">
        <v>3974</v>
      </c>
      <c r="B30" s="4" t="s">
        <v>1535</v>
      </c>
      <c r="C30" s="4" t="s">
        <v>3975</v>
      </c>
      <c r="D30" s="4" t="s">
        <v>60</v>
      </c>
      <c r="E30" s="4" t="s">
        <v>3976</v>
      </c>
      <c r="F30" s="4">
        <v>62</v>
      </c>
      <c r="G30" s="4" t="s">
        <v>3930</v>
      </c>
    </row>
    <row r="31" spans="1:7" x14ac:dyDescent="0.2">
      <c r="A31" s="4" t="s">
        <v>2270</v>
      </c>
      <c r="B31" s="4" t="s">
        <v>1535</v>
      </c>
      <c r="C31" s="4" t="s">
        <v>3977</v>
      </c>
      <c r="D31" s="4" t="s">
        <v>64</v>
      </c>
      <c r="E31" s="4" t="s">
        <v>1976</v>
      </c>
      <c r="F31" s="4">
        <v>54</v>
      </c>
      <c r="G31" s="4" t="s">
        <v>3930</v>
      </c>
    </row>
    <row r="32" spans="1:7" x14ac:dyDescent="0.2">
      <c r="A32" s="4" t="s">
        <v>3978</v>
      </c>
      <c r="B32" s="4" t="s">
        <v>1535</v>
      </c>
      <c r="C32" s="4" t="s">
        <v>3979</v>
      </c>
      <c r="D32" s="4" t="s">
        <v>58</v>
      </c>
      <c r="E32" s="4" t="s">
        <v>2752</v>
      </c>
      <c r="F32" s="4">
        <v>68</v>
      </c>
      <c r="G32" s="4" t="s">
        <v>3928</v>
      </c>
    </row>
    <row r="33" spans="1:7" x14ac:dyDescent="0.2">
      <c r="A33" s="4" t="s">
        <v>3980</v>
      </c>
      <c r="B33" s="4" t="s">
        <v>1535</v>
      </c>
      <c r="C33" s="4" t="s">
        <v>3981</v>
      </c>
      <c r="D33" s="4" t="s">
        <v>58</v>
      </c>
      <c r="E33" s="4" t="s">
        <v>2092</v>
      </c>
      <c r="F33" s="4">
        <v>49</v>
      </c>
      <c r="G33" s="4" t="s">
        <v>3930</v>
      </c>
    </row>
    <row r="34" spans="1:7" x14ac:dyDescent="0.2">
      <c r="A34" s="4" t="s">
        <v>3378</v>
      </c>
      <c r="B34" s="4" t="s">
        <v>1539</v>
      </c>
      <c r="C34" s="4" t="s">
        <v>3982</v>
      </c>
      <c r="D34" s="4" t="s">
        <v>64</v>
      </c>
      <c r="E34" s="4" t="s">
        <v>3983</v>
      </c>
      <c r="F34" s="4">
        <v>70</v>
      </c>
      <c r="G34" s="4" t="s">
        <v>3930</v>
      </c>
    </row>
    <row r="35" spans="1:7" x14ac:dyDescent="0.2">
      <c r="A35" s="4" t="s">
        <v>2598</v>
      </c>
      <c r="B35" s="4" t="s">
        <v>1539</v>
      </c>
      <c r="C35" s="4" t="s">
        <v>3984</v>
      </c>
      <c r="D35" s="4" t="s">
        <v>60</v>
      </c>
      <c r="E35" s="4" t="s">
        <v>3985</v>
      </c>
      <c r="F35" s="4">
        <v>98</v>
      </c>
      <c r="G35" s="4" t="s">
        <v>3928</v>
      </c>
    </row>
    <row r="36" spans="1:7" x14ac:dyDescent="0.2">
      <c r="A36" s="4" t="s">
        <v>2516</v>
      </c>
      <c r="B36" s="4" t="s">
        <v>1539</v>
      </c>
      <c r="C36" s="4" t="s">
        <v>3986</v>
      </c>
      <c r="D36" s="4" t="s">
        <v>62</v>
      </c>
      <c r="E36" s="4" t="s">
        <v>2380</v>
      </c>
      <c r="F36" s="4">
        <v>36</v>
      </c>
      <c r="G36" s="4" t="s">
        <v>3928</v>
      </c>
    </row>
    <row r="37" spans="1:7" x14ac:dyDescent="0.2">
      <c r="A37" s="4" t="s">
        <v>3987</v>
      </c>
      <c r="B37" s="4" t="s">
        <v>1539</v>
      </c>
      <c r="C37" s="4" t="s">
        <v>3988</v>
      </c>
      <c r="D37" s="4" t="s">
        <v>57</v>
      </c>
      <c r="E37" s="4" t="s">
        <v>3989</v>
      </c>
      <c r="F37" s="4">
        <v>42</v>
      </c>
      <c r="G37" s="4" t="s">
        <v>3930</v>
      </c>
    </row>
    <row r="38" spans="1:7" x14ac:dyDescent="0.2">
      <c r="A38" s="4" t="s">
        <v>3990</v>
      </c>
      <c r="B38" s="4" t="s">
        <v>1539</v>
      </c>
      <c r="C38" s="4" t="s">
        <v>3991</v>
      </c>
      <c r="D38" s="4" t="s">
        <v>64</v>
      </c>
      <c r="E38" s="4" t="s">
        <v>3992</v>
      </c>
      <c r="F38" s="4">
        <v>65</v>
      </c>
      <c r="G38" s="4" t="s">
        <v>3932</v>
      </c>
    </row>
    <row r="39" spans="1:7" x14ac:dyDescent="0.2">
      <c r="A39" s="4" t="s">
        <v>3993</v>
      </c>
      <c r="B39" s="4" t="s">
        <v>1539</v>
      </c>
      <c r="C39" s="4" t="s">
        <v>3994</v>
      </c>
      <c r="D39" s="4" t="s">
        <v>61</v>
      </c>
      <c r="E39" s="4" t="s">
        <v>3738</v>
      </c>
      <c r="F39" s="4">
        <v>98</v>
      </c>
      <c r="G39" s="4" t="s">
        <v>3932</v>
      </c>
    </row>
    <row r="40" spans="1:7" x14ac:dyDescent="0.2">
      <c r="A40" s="4" t="s">
        <v>3995</v>
      </c>
      <c r="B40" s="4" t="s">
        <v>1545</v>
      </c>
      <c r="C40" s="4" t="s">
        <v>3996</v>
      </c>
      <c r="D40" s="4" t="s">
        <v>59</v>
      </c>
      <c r="E40" s="4" t="s">
        <v>2424</v>
      </c>
      <c r="F40" s="4">
        <v>130</v>
      </c>
      <c r="G40" s="4" t="s">
        <v>3928</v>
      </c>
    </row>
    <row r="41" spans="1:7" x14ac:dyDescent="0.2">
      <c r="A41" s="4" t="s">
        <v>2521</v>
      </c>
      <c r="B41" s="4" t="s">
        <v>1545</v>
      </c>
      <c r="C41" s="4" t="s">
        <v>3997</v>
      </c>
      <c r="D41" s="4" t="s">
        <v>59</v>
      </c>
      <c r="E41" s="4" t="s">
        <v>2806</v>
      </c>
      <c r="F41" s="4">
        <v>160</v>
      </c>
      <c r="G41" s="4" t="s">
        <v>3928</v>
      </c>
    </row>
    <row r="42" spans="1:7" x14ac:dyDescent="0.2">
      <c r="A42" s="4" t="s">
        <v>3998</v>
      </c>
      <c r="B42" s="4" t="s">
        <v>1550</v>
      </c>
      <c r="C42" s="4" t="s">
        <v>3999</v>
      </c>
      <c r="D42" s="4" t="s">
        <v>63</v>
      </c>
      <c r="E42" s="4" t="s">
        <v>2930</v>
      </c>
      <c r="F42" s="4">
        <v>10</v>
      </c>
      <c r="G42" s="4" t="s">
        <v>3928</v>
      </c>
    </row>
    <row r="43" spans="1:7" x14ac:dyDescent="0.2">
      <c r="A43" s="4" t="s">
        <v>2638</v>
      </c>
      <c r="B43" s="4" t="s">
        <v>1550</v>
      </c>
      <c r="C43" s="4" t="s">
        <v>4000</v>
      </c>
      <c r="D43" s="4" t="s">
        <v>63</v>
      </c>
      <c r="E43" s="4" t="s">
        <v>4001</v>
      </c>
      <c r="F43" s="4">
        <v>12</v>
      </c>
      <c r="G43" s="4" t="s">
        <v>3928</v>
      </c>
    </row>
    <row r="44" spans="1:7" x14ac:dyDescent="0.2">
      <c r="A44" s="4" t="s">
        <v>2490</v>
      </c>
      <c r="B44" s="4" t="s">
        <v>1550</v>
      </c>
      <c r="C44" s="4" t="s">
        <v>4002</v>
      </c>
      <c r="D44" s="4" t="s">
        <v>57</v>
      </c>
      <c r="E44" s="4" t="s">
        <v>2713</v>
      </c>
      <c r="F44" s="4">
        <v>29</v>
      </c>
      <c r="G44" s="4" t="s">
        <v>3928</v>
      </c>
    </row>
    <row r="45" spans="1:7" x14ac:dyDescent="0.2">
      <c r="A45" s="4" t="s">
        <v>2775</v>
      </c>
      <c r="B45" s="4" t="s">
        <v>1550</v>
      </c>
      <c r="C45" s="4" t="s">
        <v>4003</v>
      </c>
      <c r="D45" s="4" t="s">
        <v>59</v>
      </c>
      <c r="E45" s="4" t="s">
        <v>4004</v>
      </c>
      <c r="F45" s="4">
        <v>28</v>
      </c>
      <c r="G45" s="4" t="s">
        <v>3930</v>
      </c>
    </row>
    <row r="46" spans="1:7" x14ac:dyDescent="0.2">
      <c r="A46" s="4" t="s">
        <v>3076</v>
      </c>
      <c r="B46" s="4" t="s">
        <v>1553</v>
      </c>
      <c r="C46" s="4" t="s">
        <v>4005</v>
      </c>
      <c r="D46" s="4" t="s">
        <v>56</v>
      </c>
      <c r="E46" s="4" t="s">
        <v>3257</v>
      </c>
      <c r="F46" s="4">
        <v>54</v>
      </c>
      <c r="G46" s="4" t="s">
        <v>3928</v>
      </c>
    </row>
    <row r="47" spans="1:7" x14ac:dyDescent="0.2">
      <c r="A47" s="4" t="s">
        <v>4006</v>
      </c>
      <c r="B47" s="4" t="s">
        <v>1557</v>
      </c>
      <c r="C47" s="4" t="s">
        <v>4007</v>
      </c>
      <c r="D47" s="4" t="s">
        <v>63</v>
      </c>
      <c r="E47" s="4" t="s">
        <v>2044</v>
      </c>
      <c r="F47" s="4">
        <v>23</v>
      </c>
      <c r="G47" s="4" t="s">
        <v>3932</v>
      </c>
    </row>
    <row r="48" spans="1:7" x14ac:dyDescent="0.2">
      <c r="A48" s="4" t="s">
        <v>3068</v>
      </c>
      <c r="B48" s="4" t="s">
        <v>1557</v>
      </c>
      <c r="C48" s="4" t="s">
        <v>4008</v>
      </c>
      <c r="D48" s="4" t="s">
        <v>62</v>
      </c>
      <c r="E48" s="4" t="s">
        <v>4009</v>
      </c>
      <c r="F48" s="4">
        <v>18</v>
      </c>
      <c r="G48" s="4" t="s">
        <v>3932</v>
      </c>
    </row>
    <row r="49" spans="1:7" x14ac:dyDescent="0.2">
      <c r="A49" s="4" t="s">
        <v>3040</v>
      </c>
      <c r="B49" s="4" t="s">
        <v>1557</v>
      </c>
      <c r="C49" s="4" t="s">
        <v>4010</v>
      </c>
      <c r="D49" s="4" t="s">
        <v>56</v>
      </c>
      <c r="E49" s="4" t="s">
        <v>2493</v>
      </c>
      <c r="F49" s="4">
        <v>21</v>
      </c>
      <c r="G49" s="4" t="s">
        <v>3930</v>
      </c>
    </row>
    <row r="50" spans="1:7" x14ac:dyDescent="0.2">
      <c r="A50" s="4" t="s">
        <v>3277</v>
      </c>
      <c r="B50" s="4" t="s">
        <v>1562</v>
      </c>
      <c r="C50" s="4" t="s">
        <v>4011</v>
      </c>
      <c r="D50" s="4" t="s">
        <v>57</v>
      </c>
      <c r="E50" s="4" t="s">
        <v>2038</v>
      </c>
      <c r="F50" s="4">
        <v>505</v>
      </c>
      <c r="G50" s="4" t="s">
        <v>3930</v>
      </c>
    </row>
    <row r="51" spans="1:7" x14ac:dyDescent="0.2">
      <c r="A51" s="4" t="s">
        <v>2245</v>
      </c>
      <c r="B51" s="4" t="s">
        <v>1566</v>
      </c>
      <c r="C51" s="4" t="s">
        <v>4012</v>
      </c>
      <c r="D51" s="4" t="s">
        <v>63</v>
      </c>
      <c r="E51" s="4" t="s">
        <v>4013</v>
      </c>
      <c r="F51" s="4">
        <v>297</v>
      </c>
      <c r="G51" s="4" t="s">
        <v>3928</v>
      </c>
    </row>
    <row r="52" spans="1:7" x14ac:dyDescent="0.2">
      <c r="A52" s="4" t="s">
        <v>3616</v>
      </c>
      <c r="B52" s="4" t="s">
        <v>1569</v>
      </c>
      <c r="C52" s="4" t="s">
        <v>4014</v>
      </c>
      <c r="D52" s="4" t="s">
        <v>56</v>
      </c>
      <c r="E52" s="4" t="s">
        <v>4015</v>
      </c>
      <c r="F52" s="4">
        <v>45</v>
      </c>
      <c r="G52" s="4" t="s">
        <v>3928</v>
      </c>
    </row>
    <row r="53" spans="1:7" x14ac:dyDescent="0.2">
      <c r="A53" s="4" t="s">
        <v>2854</v>
      </c>
      <c r="B53" s="4" t="s">
        <v>1569</v>
      </c>
      <c r="C53" s="4" t="s">
        <v>4016</v>
      </c>
      <c r="D53" s="4" t="s">
        <v>65</v>
      </c>
      <c r="E53" s="4" t="s">
        <v>3194</v>
      </c>
      <c r="F53" s="4">
        <v>54</v>
      </c>
      <c r="G53" s="4" t="s">
        <v>3930</v>
      </c>
    </row>
    <row r="54" spans="1:7" x14ac:dyDescent="0.2">
      <c r="A54" s="4" t="s">
        <v>4017</v>
      </c>
      <c r="B54" s="4" t="s">
        <v>1569</v>
      </c>
      <c r="C54" s="4" t="s">
        <v>4018</v>
      </c>
      <c r="D54" s="4" t="s">
        <v>64</v>
      </c>
      <c r="E54" s="4" t="s">
        <v>4019</v>
      </c>
      <c r="F54" s="4">
        <v>29</v>
      </c>
      <c r="G54" s="4" t="s">
        <v>3930</v>
      </c>
    </row>
    <row r="55" spans="1:7" x14ac:dyDescent="0.2">
      <c r="A55" s="4" t="s">
        <v>3728</v>
      </c>
      <c r="B55" s="4" t="s">
        <v>1569</v>
      </c>
      <c r="C55" s="4" t="s">
        <v>4020</v>
      </c>
      <c r="D55" s="4" t="s">
        <v>56</v>
      </c>
      <c r="E55" s="4" t="s">
        <v>4021</v>
      </c>
      <c r="F55" s="4">
        <v>24</v>
      </c>
      <c r="G55" s="4" t="s">
        <v>3928</v>
      </c>
    </row>
    <row r="56" spans="1:7" x14ac:dyDescent="0.2">
      <c r="A56" s="4" t="s">
        <v>3637</v>
      </c>
      <c r="B56" s="4" t="s">
        <v>1569</v>
      </c>
      <c r="C56" s="4" t="s">
        <v>4022</v>
      </c>
      <c r="D56" s="4" t="s">
        <v>65</v>
      </c>
      <c r="E56" s="4" t="s">
        <v>4023</v>
      </c>
      <c r="F56" s="4">
        <v>37</v>
      </c>
      <c r="G56" s="4" t="s">
        <v>3930</v>
      </c>
    </row>
    <row r="57" spans="1:7" x14ac:dyDescent="0.2">
      <c r="A57" s="4" t="s">
        <v>2387</v>
      </c>
      <c r="B57" s="4" t="s">
        <v>1572</v>
      </c>
      <c r="C57" s="4" t="s">
        <v>4024</v>
      </c>
      <c r="D57" s="4" t="s">
        <v>60</v>
      </c>
      <c r="E57" s="4" t="s">
        <v>2292</v>
      </c>
      <c r="F57" s="4">
        <v>228</v>
      </c>
      <c r="G57" s="4" t="s">
        <v>3928</v>
      </c>
    </row>
    <row r="58" spans="1:7" x14ac:dyDescent="0.2">
      <c r="A58" s="4" t="s">
        <v>3819</v>
      </c>
      <c r="B58" s="4" t="s">
        <v>1576</v>
      </c>
      <c r="C58" s="4" t="s">
        <v>4025</v>
      </c>
      <c r="D58" s="4" t="s">
        <v>65</v>
      </c>
      <c r="E58" s="4" t="s">
        <v>4026</v>
      </c>
      <c r="F58" s="4">
        <v>6</v>
      </c>
      <c r="G58" s="4" t="s">
        <v>3932</v>
      </c>
    </row>
    <row r="59" spans="1:7" x14ac:dyDescent="0.2">
      <c r="A59" s="4" t="s">
        <v>2974</v>
      </c>
      <c r="B59" s="4" t="s">
        <v>1576</v>
      </c>
      <c r="C59" s="4" t="s">
        <v>4027</v>
      </c>
      <c r="D59" s="4" t="s">
        <v>56</v>
      </c>
      <c r="E59" s="4" t="s">
        <v>4028</v>
      </c>
      <c r="F59" s="4">
        <v>11</v>
      </c>
      <c r="G59" s="4" t="s">
        <v>3928</v>
      </c>
    </row>
    <row r="60" spans="1:7" x14ac:dyDescent="0.2">
      <c r="A60" s="4" t="s">
        <v>3848</v>
      </c>
      <c r="B60" s="4" t="s">
        <v>1576</v>
      </c>
      <c r="C60" s="4" t="s">
        <v>4029</v>
      </c>
      <c r="D60" s="4" t="s">
        <v>63</v>
      </c>
      <c r="E60" s="4" t="s">
        <v>4030</v>
      </c>
      <c r="F60" s="4">
        <v>13</v>
      </c>
      <c r="G60" s="4" t="s">
        <v>3932</v>
      </c>
    </row>
    <row r="61" spans="1:7" x14ac:dyDescent="0.2">
      <c r="A61" s="4" t="s">
        <v>3305</v>
      </c>
      <c r="B61" s="4" t="s">
        <v>1576</v>
      </c>
      <c r="C61" s="4" t="s">
        <v>4031</v>
      </c>
      <c r="D61" s="4" t="s">
        <v>57</v>
      </c>
      <c r="E61" s="4" t="s">
        <v>4032</v>
      </c>
      <c r="F61" s="4">
        <v>5</v>
      </c>
      <c r="G61" s="4" t="s">
        <v>3930</v>
      </c>
    </row>
    <row r="62" spans="1:7" x14ac:dyDescent="0.2">
      <c r="A62" s="4" t="s">
        <v>2235</v>
      </c>
      <c r="B62" s="4" t="s">
        <v>1576</v>
      </c>
      <c r="C62" s="4" t="s">
        <v>4033</v>
      </c>
      <c r="D62" s="4" t="s">
        <v>58</v>
      </c>
      <c r="E62" s="4" t="s">
        <v>4034</v>
      </c>
      <c r="F62" s="4">
        <v>11</v>
      </c>
      <c r="G62" s="4" t="s">
        <v>3930</v>
      </c>
    </row>
    <row r="63" spans="1:7" x14ac:dyDescent="0.2">
      <c r="A63" s="4" t="s">
        <v>3045</v>
      </c>
      <c r="B63" s="4" t="s">
        <v>1576</v>
      </c>
      <c r="C63" s="4" t="s">
        <v>4035</v>
      </c>
      <c r="D63" s="4" t="s">
        <v>65</v>
      </c>
      <c r="E63" s="4" t="s">
        <v>3766</v>
      </c>
      <c r="F63" s="4">
        <v>8</v>
      </c>
      <c r="G63" s="4" t="s">
        <v>3928</v>
      </c>
    </row>
    <row r="64" spans="1:7" x14ac:dyDescent="0.2">
      <c r="A64" s="4" t="s">
        <v>2550</v>
      </c>
      <c r="B64" s="4" t="s">
        <v>1580</v>
      </c>
      <c r="C64" s="4" t="s">
        <v>4036</v>
      </c>
      <c r="D64" s="4" t="s">
        <v>60</v>
      </c>
      <c r="E64" s="4" t="s">
        <v>3538</v>
      </c>
      <c r="F64" s="4">
        <v>23</v>
      </c>
      <c r="G64" s="4" t="s">
        <v>3930</v>
      </c>
    </row>
    <row r="65" spans="1:7" x14ac:dyDescent="0.2">
      <c r="A65" s="4" t="s">
        <v>4037</v>
      </c>
      <c r="B65" s="4" t="s">
        <v>1580</v>
      </c>
      <c r="C65" s="4" t="s">
        <v>4038</v>
      </c>
      <c r="D65" s="4" t="s">
        <v>62</v>
      </c>
      <c r="E65" s="4" t="s">
        <v>1976</v>
      </c>
      <c r="F65" s="4">
        <v>11</v>
      </c>
      <c r="G65" s="4" t="s">
        <v>3928</v>
      </c>
    </row>
    <row r="66" spans="1:7" x14ac:dyDescent="0.2">
      <c r="A66" s="4" t="s">
        <v>2844</v>
      </c>
      <c r="B66" s="4" t="s">
        <v>1580</v>
      </c>
      <c r="C66" s="4" t="s">
        <v>4039</v>
      </c>
      <c r="D66" s="4" t="s">
        <v>61</v>
      </c>
      <c r="E66" s="4" t="s">
        <v>1987</v>
      </c>
      <c r="F66" s="4">
        <v>20</v>
      </c>
      <c r="G66" s="4" t="s">
        <v>3930</v>
      </c>
    </row>
    <row r="67" spans="1:7" x14ac:dyDescent="0.2">
      <c r="A67" s="4" t="s">
        <v>4040</v>
      </c>
      <c r="B67" s="4" t="s">
        <v>1580</v>
      </c>
      <c r="C67" s="4" t="s">
        <v>4041</v>
      </c>
      <c r="D67" s="4" t="s">
        <v>59</v>
      </c>
      <c r="E67" s="4" t="s">
        <v>4042</v>
      </c>
      <c r="F67" s="4">
        <v>23</v>
      </c>
      <c r="G67" s="4" t="s">
        <v>3930</v>
      </c>
    </row>
    <row r="68" spans="1:7" x14ac:dyDescent="0.2">
      <c r="A68" s="4" t="s">
        <v>3743</v>
      </c>
      <c r="B68" s="4" t="s">
        <v>1580</v>
      </c>
      <c r="C68" s="4" t="s">
        <v>4043</v>
      </c>
      <c r="D68" s="4" t="s">
        <v>63</v>
      </c>
      <c r="E68" s="4" t="s">
        <v>4044</v>
      </c>
      <c r="F68" s="4">
        <v>25</v>
      </c>
      <c r="G68" s="4" t="s">
        <v>3928</v>
      </c>
    </row>
    <row r="69" spans="1:7" x14ac:dyDescent="0.2">
      <c r="A69" s="4" t="s">
        <v>2607</v>
      </c>
      <c r="B69" s="4" t="s">
        <v>1580</v>
      </c>
      <c r="C69" s="4" t="s">
        <v>4045</v>
      </c>
      <c r="D69" s="4" t="s">
        <v>57</v>
      </c>
      <c r="E69" s="4" t="s">
        <v>2129</v>
      </c>
      <c r="F69" s="4">
        <v>20</v>
      </c>
      <c r="G69" s="4" t="s">
        <v>3930</v>
      </c>
    </row>
    <row r="70" spans="1:7" x14ac:dyDescent="0.2">
      <c r="A70" s="4" t="s">
        <v>3372</v>
      </c>
      <c r="B70" s="4" t="s">
        <v>1583</v>
      </c>
      <c r="C70" s="4" t="s">
        <v>4046</v>
      </c>
      <c r="D70" s="4" t="s">
        <v>59</v>
      </c>
      <c r="E70" s="4" t="s">
        <v>4047</v>
      </c>
      <c r="F70" s="4">
        <v>82</v>
      </c>
      <c r="G70" s="4" t="s">
        <v>3928</v>
      </c>
    </row>
    <row r="71" spans="1:7" x14ac:dyDescent="0.2">
      <c r="A71" s="4" t="s">
        <v>4048</v>
      </c>
      <c r="B71" s="4" t="s">
        <v>1583</v>
      </c>
      <c r="C71" s="4" t="s">
        <v>4049</v>
      </c>
      <c r="D71" s="4" t="s">
        <v>61</v>
      </c>
      <c r="E71" s="4" t="s">
        <v>4050</v>
      </c>
      <c r="F71" s="4">
        <v>92</v>
      </c>
      <c r="G71" s="4" t="s">
        <v>3928</v>
      </c>
    </row>
    <row r="72" spans="1:7" x14ac:dyDescent="0.2">
      <c r="A72" s="4" t="s">
        <v>4051</v>
      </c>
      <c r="B72" s="4" t="s">
        <v>1583</v>
      </c>
      <c r="C72" s="4" t="s">
        <v>4052</v>
      </c>
      <c r="D72" s="4" t="s">
        <v>57</v>
      </c>
      <c r="E72" s="4" t="s">
        <v>4053</v>
      </c>
      <c r="F72" s="4">
        <v>113</v>
      </c>
      <c r="G72" s="4" t="s">
        <v>3932</v>
      </c>
    </row>
    <row r="73" spans="1:7" x14ac:dyDescent="0.2">
      <c r="A73" s="4" t="s">
        <v>2115</v>
      </c>
      <c r="B73" s="4" t="s">
        <v>1583</v>
      </c>
      <c r="C73" s="4" t="s">
        <v>4054</v>
      </c>
      <c r="D73" s="4" t="s">
        <v>60</v>
      </c>
      <c r="E73" s="4" t="s">
        <v>2203</v>
      </c>
      <c r="F73" s="4">
        <v>88</v>
      </c>
      <c r="G73" s="4" t="s">
        <v>3928</v>
      </c>
    </row>
    <row r="74" spans="1:7" x14ac:dyDescent="0.2">
      <c r="A74" s="4" t="s">
        <v>2737</v>
      </c>
      <c r="B74" s="4" t="s">
        <v>1583</v>
      </c>
      <c r="C74" s="4" t="s">
        <v>4055</v>
      </c>
      <c r="D74" s="4" t="s">
        <v>62</v>
      </c>
      <c r="E74" s="4" t="s">
        <v>4056</v>
      </c>
      <c r="F74" s="4">
        <v>43</v>
      </c>
      <c r="G74" s="4" t="s">
        <v>3930</v>
      </c>
    </row>
    <row r="75" spans="1:7" x14ac:dyDescent="0.2">
      <c r="A75" s="4" t="s">
        <v>4057</v>
      </c>
      <c r="B75" s="4" t="s">
        <v>1583</v>
      </c>
      <c r="C75" s="4" t="s">
        <v>4058</v>
      </c>
      <c r="D75" s="4" t="s">
        <v>57</v>
      </c>
      <c r="E75" s="4" t="s">
        <v>3194</v>
      </c>
      <c r="F75" s="4">
        <v>118</v>
      </c>
      <c r="G75" s="4" t="s">
        <v>3930</v>
      </c>
    </row>
    <row r="76" spans="1:7" x14ac:dyDescent="0.2">
      <c r="A76" s="4" t="s">
        <v>2886</v>
      </c>
      <c r="B76" s="4" t="s">
        <v>1588</v>
      </c>
      <c r="C76" s="4" t="s">
        <v>4059</v>
      </c>
      <c r="D76" s="4" t="s">
        <v>57</v>
      </c>
      <c r="E76" s="4" t="s">
        <v>2752</v>
      </c>
      <c r="F76" s="4">
        <v>38</v>
      </c>
      <c r="G76" s="4" t="s">
        <v>3930</v>
      </c>
    </row>
    <row r="77" spans="1:7" x14ac:dyDescent="0.2">
      <c r="A77" s="4" t="s">
        <v>2000</v>
      </c>
      <c r="B77" s="4" t="s">
        <v>1588</v>
      </c>
      <c r="C77" s="4" t="s">
        <v>4060</v>
      </c>
      <c r="D77" s="4" t="s">
        <v>64</v>
      </c>
      <c r="E77" s="4" t="s">
        <v>2460</v>
      </c>
      <c r="F77" s="4">
        <v>37</v>
      </c>
      <c r="G77" s="4" t="s">
        <v>3932</v>
      </c>
    </row>
    <row r="78" spans="1:7" x14ac:dyDescent="0.2">
      <c r="A78" s="4" t="s">
        <v>3703</v>
      </c>
      <c r="B78" s="4" t="s">
        <v>1592</v>
      </c>
      <c r="C78" s="4" t="s">
        <v>4061</v>
      </c>
      <c r="D78" s="4" t="s">
        <v>61</v>
      </c>
      <c r="E78" s="4" t="s">
        <v>4062</v>
      </c>
      <c r="F78" s="4">
        <v>38</v>
      </c>
      <c r="G78" s="4" t="s">
        <v>3932</v>
      </c>
    </row>
    <row r="79" spans="1:7" x14ac:dyDescent="0.2">
      <c r="A79" s="4" t="s">
        <v>2878</v>
      </c>
      <c r="B79" s="4" t="s">
        <v>1592</v>
      </c>
      <c r="C79" s="4" t="s">
        <v>4063</v>
      </c>
      <c r="D79" s="4" t="s">
        <v>62</v>
      </c>
      <c r="E79" s="4" t="s">
        <v>3203</v>
      </c>
      <c r="F79" s="4">
        <v>62</v>
      </c>
      <c r="G79" s="4" t="s">
        <v>3928</v>
      </c>
    </row>
    <row r="80" spans="1:7" x14ac:dyDescent="0.2">
      <c r="A80" s="4" t="s">
        <v>3598</v>
      </c>
      <c r="B80" s="4" t="s">
        <v>1596</v>
      </c>
      <c r="C80" s="4" t="s">
        <v>4064</v>
      </c>
      <c r="D80" s="4" t="s">
        <v>57</v>
      </c>
      <c r="E80" s="4" t="s">
        <v>4065</v>
      </c>
      <c r="F80" s="4">
        <v>77</v>
      </c>
      <c r="G80" s="4" t="s">
        <v>3928</v>
      </c>
    </row>
    <row r="81" spans="1:7" x14ac:dyDescent="0.2">
      <c r="A81" s="4" t="s">
        <v>3113</v>
      </c>
      <c r="B81" s="4" t="s">
        <v>1596</v>
      </c>
      <c r="C81" s="4" t="s">
        <v>4066</v>
      </c>
      <c r="D81" s="4" t="s">
        <v>63</v>
      </c>
      <c r="E81" s="4" t="s">
        <v>2027</v>
      </c>
      <c r="F81" s="4">
        <v>100</v>
      </c>
      <c r="G81" s="4" t="s">
        <v>3930</v>
      </c>
    </row>
    <row r="82" spans="1:7" x14ac:dyDescent="0.2">
      <c r="A82" s="4" t="s">
        <v>4067</v>
      </c>
      <c r="B82" s="4" t="s">
        <v>1596</v>
      </c>
      <c r="C82" s="4" t="s">
        <v>4068</v>
      </c>
      <c r="D82" s="4" t="s">
        <v>59</v>
      </c>
      <c r="E82" s="4" t="s">
        <v>2292</v>
      </c>
      <c r="F82" s="4">
        <v>52</v>
      </c>
      <c r="G82" s="4" t="s">
        <v>3932</v>
      </c>
    </row>
    <row r="83" spans="1:7" x14ac:dyDescent="0.2">
      <c r="A83" s="4" t="s">
        <v>3812</v>
      </c>
      <c r="B83" s="4" t="s">
        <v>1596</v>
      </c>
      <c r="C83" s="4" t="s">
        <v>4069</v>
      </c>
      <c r="D83" s="4" t="s">
        <v>59</v>
      </c>
      <c r="E83" s="4" t="s">
        <v>2243</v>
      </c>
      <c r="F83" s="4">
        <v>100</v>
      </c>
      <c r="G83" s="4" t="s">
        <v>3928</v>
      </c>
    </row>
    <row r="84" spans="1:7" x14ac:dyDescent="0.2">
      <c r="A84" s="4" t="s">
        <v>4070</v>
      </c>
      <c r="B84" s="4" t="s">
        <v>1596</v>
      </c>
      <c r="C84" s="4" t="s">
        <v>4071</v>
      </c>
      <c r="D84" s="4" t="s">
        <v>65</v>
      </c>
      <c r="E84" s="4" t="s">
        <v>3675</v>
      </c>
      <c r="F84" s="4">
        <v>130</v>
      </c>
      <c r="G84" s="4" t="s">
        <v>3930</v>
      </c>
    </row>
    <row r="85" spans="1:7" x14ac:dyDescent="0.2">
      <c r="A85" s="4" t="s">
        <v>2338</v>
      </c>
      <c r="B85" s="4" t="s">
        <v>1600</v>
      </c>
      <c r="C85" s="4" t="s">
        <v>4072</v>
      </c>
      <c r="D85" s="4" t="s">
        <v>56</v>
      </c>
      <c r="E85" s="4" t="s">
        <v>2243</v>
      </c>
      <c r="F85" s="4">
        <v>42</v>
      </c>
      <c r="G85" s="4" t="s">
        <v>3928</v>
      </c>
    </row>
    <row r="86" spans="1:7" x14ac:dyDescent="0.2">
      <c r="A86" s="4" t="s">
        <v>4073</v>
      </c>
      <c r="B86" s="4" t="s">
        <v>1600</v>
      </c>
      <c r="C86" s="4" t="s">
        <v>4074</v>
      </c>
      <c r="D86" s="4" t="s">
        <v>56</v>
      </c>
      <c r="E86" s="4" t="s">
        <v>3843</v>
      </c>
      <c r="F86" s="4">
        <v>115</v>
      </c>
      <c r="G86" s="4" t="s">
        <v>3932</v>
      </c>
    </row>
    <row r="87" spans="1:7" x14ac:dyDescent="0.2">
      <c r="A87" s="4" t="s">
        <v>2146</v>
      </c>
      <c r="B87" s="4" t="s">
        <v>1600</v>
      </c>
      <c r="C87" s="4" t="s">
        <v>4075</v>
      </c>
      <c r="D87" s="4" t="s">
        <v>64</v>
      </c>
      <c r="E87" s="4" t="s">
        <v>2068</v>
      </c>
      <c r="F87" s="4">
        <v>71</v>
      </c>
      <c r="G87" s="4" t="s">
        <v>3930</v>
      </c>
    </row>
    <row r="88" spans="1:7" x14ac:dyDescent="0.2">
      <c r="A88" s="4" t="s">
        <v>3414</v>
      </c>
      <c r="B88" s="4" t="s">
        <v>1604</v>
      </c>
      <c r="C88" s="4" t="s">
        <v>4076</v>
      </c>
      <c r="D88" s="4" t="s">
        <v>57</v>
      </c>
      <c r="E88" s="4" t="s">
        <v>4077</v>
      </c>
      <c r="F88" s="4">
        <v>119</v>
      </c>
      <c r="G88" s="4" t="s">
        <v>3928</v>
      </c>
    </row>
    <row r="89" spans="1:7" x14ac:dyDescent="0.2">
      <c r="A89" s="4" t="s">
        <v>2896</v>
      </c>
      <c r="B89" s="4" t="s">
        <v>1604</v>
      </c>
      <c r="C89" s="4" t="s">
        <v>4078</v>
      </c>
      <c r="D89" s="4" t="s">
        <v>56</v>
      </c>
      <c r="E89" s="4" t="s">
        <v>3609</v>
      </c>
      <c r="F89" s="4">
        <v>111</v>
      </c>
      <c r="G89" s="4" t="s">
        <v>3930</v>
      </c>
    </row>
    <row r="90" spans="1:7" x14ac:dyDescent="0.2">
      <c r="A90" s="4" t="s">
        <v>2284</v>
      </c>
      <c r="B90" s="4" t="s">
        <v>1604</v>
      </c>
      <c r="C90" s="4" t="s">
        <v>4079</v>
      </c>
      <c r="D90" s="4" t="s">
        <v>58</v>
      </c>
      <c r="E90" s="4" t="s">
        <v>2460</v>
      </c>
      <c r="F90" s="4">
        <v>92</v>
      </c>
      <c r="G90" s="4" t="s">
        <v>3928</v>
      </c>
    </row>
    <row r="91" spans="1:7" x14ac:dyDescent="0.2">
      <c r="A91" s="4" t="s">
        <v>4080</v>
      </c>
      <c r="B91" s="4" t="s">
        <v>1604</v>
      </c>
      <c r="C91" s="4" t="s">
        <v>4081</v>
      </c>
      <c r="D91" s="4" t="s">
        <v>58</v>
      </c>
      <c r="E91" s="4" t="s">
        <v>3576</v>
      </c>
      <c r="F91" s="4">
        <v>107</v>
      </c>
      <c r="G91" s="4" t="s">
        <v>3932</v>
      </c>
    </row>
    <row r="92" spans="1:7" x14ac:dyDescent="0.2">
      <c r="A92" s="4" t="s">
        <v>2470</v>
      </c>
      <c r="B92" s="4" t="s">
        <v>1607</v>
      </c>
      <c r="C92" s="4" t="s">
        <v>4082</v>
      </c>
      <c r="D92" s="4" t="s">
        <v>59</v>
      </c>
      <c r="E92" s="4" t="s">
        <v>2368</v>
      </c>
      <c r="F92" s="4">
        <v>237</v>
      </c>
      <c r="G92" s="4" t="s">
        <v>3930</v>
      </c>
    </row>
    <row r="93" spans="1:7" x14ac:dyDescent="0.2">
      <c r="A93" s="4" t="s">
        <v>3713</v>
      </c>
      <c r="B93" s="4" t="s">
        <v>1607</v>
      </c>
      <c r="C93" s="4" t="s">
        <v>4083</v>
      </c>
      <c r="D93" s="4" t="s">
        <v>56</v>
      </c>
      <c r="E93" s="4" t="s">
        <v>1976</v>
      </c>
      <c r="F93" s="4">
        <v>155</v>
      </c>
      <c r="G93" s="4" t="s">
        <v>3930</v>
      </c>
    </row>
    <row r="94" spans="1:7" x14ac:dyDescent="0.2">
      <c r="A94" s="4" t="s">
        <v>2958</v>
      </c>
      <c r="B94" s="4" t="s">
        <v>1611</v>
      </c>
      <c r="C94" s="4" t="s">
        <v>4084</v>
      </c>
      <c r="D94" s="4" t="s">
        <v>62</v>
      </c>
      <c r="E94" s="4" t="s">
        <v>3228</v>
      </c>
      <c r="F94" s="4">
        <v>68</v>
      </c>
      <c r="G94" s="4" t="s">
        <v>3932</v>
      </c>
    </row>
    <row r="95" spans="1:7" x14ac:dyDescent="0.2">
      <c r="A95" s="4" t="s">
        <v>2317</v>
      </c>
      <c r="B95" s="4" t="s">
        <v>1611</v>
      </c>
      <c r="C95" s="4" t="s">
        <v>4085</v>
      </c>
      <c r="D95" s="4" t="s">
        <v>60</v>
      </c>
      <c r="E95" s="4" t="s">
        <v>4086</v>
      </c>
      <c r="F95" s="4">
        <v>97</v>
      </c>
      <c r="G95" s="4" t="s">
        <v>3932</v>
      </c>
    </row>
    <row r="96" spans="1:7" x14ac:dyDescent="0.2">
      <c r="A96" s="4" t="s">
        <v>2253</v>
      </c>
      <c r="B96" s="4" t="s">
        <v>1611</v>
      </c>
      <c r="C96" s="4" t="s">
        <v>4087</v>
      </c>
      <c r="D96" s="4" t="s">
        <v>56</v>
      </c>
      <c r="E96" s="4" t="s">
        <v>2871</v>
      </c>
      <c r="F96" s="4">
        <v>109</v>
      </c>
      <c r="G96" s="4" t="s">
        <v>3928</v>
      </c>
    </row>
    <row r="97" spans="1:7" x14ac:dyDescent="0.2">
      <c r="A97" s="4" t="s">
        <v>4088</v>
      </c>
      <c r="B97" s="4" t="s">
        <v>1611</v>
      </c>
      <c r="C97" s="4" t="s">
        <v>4089</v>
      </c>
      <c r="D97" s="4" t="s">
        <v>58</v>
      </c>
      <c r="E97" s="4" t="s">
        <v>2605</v>
      </c>
      <c r="F97" s="4">
        <v>105</v>
      </c>
      <c r="G97" s="4" t="s">
        <v>3932</v>
      </c>
    </row>
    <row r="98" spans="1:7" x14ac:dyDescent="0.2">
      <c r="A98" s="4" t="s">
        <v>4090</v>
      </c>
      <c r="B98" s="4" t="s">
        <v>1611</v>
      </c>
      <c r="C98" s="4" t="s">
        <v>4091</v>
      </c>
      <c r="D98" s="4" t="s">
        <v>56</v>
      </c>
      <c r="E98" s="4" t="s">
        <v>3331</v>
      </c>
      <c r="F98" s="4">
        <v>108</v>
      </c>
      <c r="G98" s="4" t="s">
        <v>3930</v>
      </c>
    </row>
    <row r="99" spans="1:7" x14ac:dyDescent="0.2">
      <c r="A99" s="4" t="s">
        <v>2307</v>
      </c>
      <c r="B99" s="4" t="s">
        <v>1615</v>
      </c>
      <c r="C99" s="4" t="s">
        <v>4092</v>
      </c>
      <c r="D99" s="4" t="s">
        <v>65</v>
      </c>
      <c r="E99" s="4" t="s">
        <v>2368</v>
      </c>
      <c r="F99" s="4">
        <v>181</v>
      </c>
      <c r="G99" s="4" t="s">
        <v>3930</v>
      </c>
    </row>
    <row r="100" spans="1:7" x14ac:dyDescent="0.2">
      <c r="A100" s="4" t="s">
        <v>2294</v>
      </c>
      <c r="B100" s="4" t="s">
        <v>1619</v>
      </c>
      <c r="C100" s="4" t="s">
        <v>4093</v>
      </c>
      <c r="D100" s="4" t="s">
        <v>64</v>
      </c>
      <c r="E100" s="4" t="s">
        <v>4094</v>
      </c>
      <c r="F100" s="4">
        <v>122</v>
      </c>
      <c r="G100" s="4" t="s">
        <v>3930</v>
      </c>
    </row>
    <row r="101" spans="1:7" x14ac:dyDescent="0.2">
      <c r="A101" s="4" t="s">
        <v>3095</v>
      </c>
      <c r="B101" s="4" t="s">
        <v>1619</v>
      </c>
      <c r="C101" s="4" t="s">
        <v>4095</v>
      </c>
      <c r="D101" s="4" t="s">
        <v>57</v>
      </c>
      <c r="E101" s="4" t="s">
        <v>2507</v>
      </c>
      <c r="F101" s="4">
        <v>57</v>
      </c>
      <c r="G101" s="4" t="s">
        <v>3932</v>
      </c>
    </row>
    <row r="102" spans="1:7" x14ac:dyDescent="0.2">
      <c r="A102" s="4" t="s">
        <v>4096</v>
      </c>
      <c r="B102" s="4" t="s">
        <v>1619</v>
      </c>
      <c r="C102" s="4" t="s">
        <v>4097</v>
      </c>
      <c r="D102" s="4" t="s">
        <v>57</v>
      </c>
      <c r="E102" s="4" t="s">
        <v>4098</v>
      </c>
      <c r="F102" s="4">
        <v>97</v>
      </c>
      <c r="G102" s="4" t="s">
        <v>3932</v>
      </c>
    </row>
    <row r="103" spans="1:7" x14ac:dyDescent="0.2">
      <c r="A103" s="4" t="s">
        <v>4099</v>
      </c>
      <c r="B103" s="4" t="s">
        <v>1619</v>
      </c>
      <c r="C103" s="4" t="s">
        <v>4100</v>
      </c>
      <c r="D103" s="4" t="s">
        <v>59</v>
      </c>
      <c r="E103" s="4" t="s">
        <v>2752</v>
      </c>
      <c r="F103" s="4">
        <v>47</v>
      </c>
      <c r="G103" s="4" t="s">
        <v>3932</v>
      </c>
    </row>
    <row r="104" spans="1:7" x14ac:dyDescent="0.2">
      <c r="A104" s="4" t="s">
        <v>3603</v>
      </c>
      <c r="B104" s="4" t="s">
        <v>1619</v>
      </c>
      <c r="C104" s="4" t="s">
        <v>4101</v>
      </c>
      <c r="D104" s="4" t="s">
        <v>61</v>
      </c>
      <c r="E104" s="4" t="s">
        <v>2668</v>
      </c>
      <c r="F104" s="4">
        <v>76</v>
      </c>
      <c r="G104" s="4" t="s">
        <v>3930</v>
      </c>
    </row>
    <row r="105" spans="1:7" x14ac:dyDescent="0.2">
      <c r="A105" s="4" t="s">
        <v>4102</v>
      </c>
      <c r="B105" s="4" t="s">
        <v>1624</v>
      </c>
      <c r="C105" s="4" t="s">
        <v>4103</v>
      </c>
      <c r="D105" s="4" t="s">
        <v>56</v>
      </c>
      <c r="E105" s="4" t="s">
        <v>2068</v>
      </c>
      <c r="F105" s="4">
        <v>72</v>
      </c>
      <c r="G105" s="4" t="s">
        <v>3930</v>
      </c>
    </row>
    <row r="106" spans="1:7" x14ac:dyDescent="0.2">
      <c r="A106" s="4" t="s">
        <v>3887</v>
      </c>
      <c r="B106" s="4" t="s">
        <v>1624</v>
      </c>
      <c r="C106" s="4" t="s">
        <v>4104</v>
      </c>
      <c r="D106" s="4" t="s">
        <v>65</v>
      </c>
      <c r="E106" s="4" t="s">
        <v>4105</v>
      </c>
      <c r="F106" s="4">
        <v>74</v>
      </c>
      <c r="G106" s="4" t="s">
        <v>3932</v>
      </c>
    </row>
    <row r="107" spans="1:7" x14ac:dyDescent="0.2">
      <c r="A107" s="4" t="s">
        <v>4106</v>
      </c>
      <c r="B107" s="4" t="s">
        <v>1624</v>
      </c>
      <c r="C107" s="4" t="s">
        <v>4107</v>
      </c>
      <c r="D107" s="4" t="s">
        <v>61</v>
      </c>
      <c r="E107" s="4" t="s">
        <v>2038</v>
      </c>
      <c r="F107" s="4">
        <v>99</v>
      </c>
      <c r="G107" s="4" t="s">
        <v>3932</v>
      </c>
    </row>
    <row r="108" spans="1:7" x14ac:dyDescent="0.2">
      <c r="A108" s="4" t="s">
        <v>3611</v>
      </c>
      <c r="B108" s="4" t="s">
        <v>1624</v>
      </c>
      <c r="C108" s="4" t="s">
        <v>4108</v>
      </c>
      <c r="D108" s="4" t="s">
        <v>62</v>
      </c>
      <c r="E108" s="4" t="s">
        <v>3043</v>
      </c>
      <c r="F108" s="4">
        <v>74</v>
      </c>
      <c r="G108" s="4" t="s">
        <v>3928</v>
      </c>
    </row>
    <row r="109" spans="1:7" x14ac:dyDescent="0.2">
      <c r="A109" s="4" t="s">
        <v>2762</v>
      </c>
      <c r="B109" s="4" t="s">
        <v>1624</v>
      </c>
      <c r="C109" s="4" t="s">
        <v>4109</v>
      </c>
      <c r="D109" s="4" t="s">
        <v>62</v>
      </c>
      <c r="E109" s="4" t="s">
        <v>3174</v>
      </c>
      <c r="F109" s="4">
        <v>79</v>
      </c>
      <c r="G109" s="4" t="s">
        <v>3930</v>
      </c>
    </row>
    <row r="110" spans="1:7" x14ac:dyDescent="0.2">
      <c r="A110" s="4" t="s">
        <v>2392</v>
      </c>
      <c r="B110" s="4" t="s">
        <v>1624</v>
      </c>
      <c r="C110" s="4" t="s">
        <v>4110</v>
      </c>
      <c r="D110" s="4" t="s">
        <v>61</v>
      </c>
      <c r="E110" s="4" t="s">
        <v>2144</v>
      </c>
      <c r="F110" s="4">
        <v>61</v>
      </c>
      <c r="G110" s="4" t="s">
        <v>3932</v>
      </c>
    </row>
    <row r="111" spans="1:7" x14ac:dyDescent="0.2">
      <c r="A111" s="4" t="s">
        <v>3188</v>
      </c>
      <c r="B111" s="4" t="s">
        <v>1628</v>
      </c>
      <c r="C111" s="4" t="s">
        <v>4111</v>
      </c>
      <c r="D111" s="4" t="s">
        <v>65</v>
      </c>
      <c r="E111" s="4" t="s">
        <v>2149</v>
      </c>
      <c r="F111" s="4">
        <v>49</v>
      </c>
      <c r="G111" s="4" t="s">
        <v>3932</v>
      </c>
    </row>
    <row r="112" spans="1:7" x14ac:dyDescent="0.2">
      <c r="A112" s="4" t="s">
        <v>4112</v>
      </c>
      <c r="B112" s="4" t="s">
        <v>1628</v>
      </c>
      <c r="C112" s="4" t="s">
        <v>4113</v>
      </c>
      <c r="D112" s="4" t="s">
        <v>63</v>
      </c>
      <c r="E112" s="4" t="s">
        <v>1982</v>
      </c>
      <c r="F112" s="4">
        <v>40</v>
      </c>
      <c r="G112" s="4" t="s">
        <v>3930</v>
      </c>
    </row>
    <row r="113" spans="1:7" x14ac:dyDescent="0.2">
      <c r="A113" s="4" t="s">
        <v>2262</v>
      </c>
      <c r="B113" s="4" t="s">
        <v>1628</v>
      </c>
      <c r="C113" s="4" t="s">
        <v>4114</v>
      </c>
      <c r="D113" s="4" t="s">
        <v>60</v>
      </c>
      <c r="E113" s="4" t="s">
        <v>3766</v>
      </c>
      <c r="F113" s="4">
        <v>32</v>
      </c>
      <c r="G113" s="4" t="s">
        <v>3930</v>
      </c>
    </row>
    <row r="114" spans="1:7" x14ac:dyDescent="0.2">
      <c r="A114" s="4" t="s">
        <v>4115</v>
      </c>
      <c r="B114" s="4" t="s">
        <v>1632</v>
      </c>
      <c r="C114" s="4" t="s">
        <v>4116</v>
      </c>
      <c r="D114" s="4" t="s">
        <v>65</v>
      </c>
      <c r="E114" s="4" t="s">
        <v>3515</v>
      </c>
      <c r="F114" s="4">
        <v>95</v>
      </c>
      <c r="G114" s="4" t="s">
        <v>3928</v>
      </c>
    </row>
    <row r="115" spans="1:7" x14ac:dyDescent="0.2">
      <c r="A115" s="4" t="s">
        <v>3863</v>
      </c>
      <c r="B115" s="4" t="s">
        <v>1632</v>
      </c>
      <c r="C115" s="4" t="s">
        <v>4117</v>
      </c>
      <c r="D115" s="4" t="s">
        <v>63</v>
      </c>
      <c r="E115" s="4" t="s">
        <v>2228</v>
      </c>
      <c r="F115" s="4">
        <v>100</v>
      </c>
      <c r="G115" s="4" t="s">
        <v>3932</v>
      </c>
    </row>
    <row r="116" spans="1:7" x14ac:dyDescent="0.2">
      <c r="A116" s="4" t="s">
        <v>4118</v>
      </c>
      <c r="B116" s="4" t="s">
        <v>1632</v>
      </c>
      <c r="C116" s="4" t="s">
        <v>4119</v>
      </c>
      <c r="D116" s="4" t="s">
        <v>61</v>
      </c>
      <c r="E116" s="4" t="s">
        <v>3335</v>
      </c>
      <c r="F116" s="4">
        <v>96</v>
      </c>
      <c r="G116" s="4" t="s">
        <v>3930</v>
      </c>
    </row>
    <row r="117" spans="1:7" x14ac:dyDescent="0.2">
      <c r="A117" s="4" t="s">
        <v>3176</v>
      </c>
      <c r="B117" s="4" t="s">
        <v>1632</v>
      </c>
      <c r="C117" s="4" t="s">
        <v>4120</v>
      </c>
      <c r="D117" s="4" t="s">
        <v>63</v>
      </c>
      <c r="E117" s="4" t="s">
        <v>2082</v>
      </c>
      <c r="F117" s="4">
        <v>83</v>
      </c>
      <c r="G117" s="4" t="s">
        <v>3930</v>
      </c>
    </row>
    <row r="118" spans="1:7" x14ac:dyDescent="0.2">
      <c r="A118" s="4" t="s">
        <v>3029</v>
      </c>
      <c r="B118" s="4" t="s">
        <v>1632</v>
      </c>
      <c r="C118" s="4" t="s">
        <v>4121</v>
      </c>
      <c r="D118" s="4" t="s">
        <v>63</v>
      </c>
      <c r="E118" s="4" t="s">
        <v>2243</v>
      </c>
      <c r="F118" s="4">
        <v>76</v>
      </c>
      <c r="G118" s="4" t="s">
        <v>3930</v>
      </c>
    </row>
    <row r="119" spans="1:7" x14ac:dyDescent="0.2">
      <c r="A119" s="4" t="s">
        <v>2055</v>
      </c>
      <c r="B119" s="4" t="s">
        <v>1635</v>
      </c>
      <c r="C119" s="4" t="s">
        <v>4122</v>
      </c>
      <c r="D119" s="4" t="s">
        <v>62</v>
      </c>
      <c r="E119" s="4" t="s">
        <v>4123</v>
      </c>
      <c r="F119" s="4">
        <v>58</v>
      </c>
      <c r="G119" s="4" t="s">
        <v>3930</v>
      </c>
    </row>
    <row r="120" spans="1:7" x14ac:dyDescent="0.2">
      <c r="A120" s="4" t="s">
        <v>2511</v>
      </c>
      <c r="B120" s="4" t="s">
        <v>1635</v>
      </c>
      <c r="C120" s="4" t="s">
        <v>4124</v>
      </c>
      <c r="D120" s="4" t="s">
        <v>62</v>
      </c>
      <c r="E120" s="4" t="s">
        <v>4001</v>
      </c>
      <c r="F120" s="4">
        <v>43</v>
      </c>
      <c r="G120" s="4" t="s">
        <v>3928</v>
      </c>
    </row>
    <row r="121" spans="1:7" x14ac:dyDescent="0.2">
      <c r="A121" s="4" t="s">
        <v>3108</v>
      </c>
      <c r="B121" s="4" t="s">
        <v>1639</v>
      </c>
      <c r="C121" s="4" t="s">
        <v>4125</v>
      </c>
      <c r="D121" s="4" t="s">
        <v>62</v>
      </c>
      <c r="E121" s="4" t="s">
        <v>3846</v>
      </c>
      <c r="F121" s="4">
        <v>79</v>
      </c>
      <c r="G121" s="4" t="s">
        <v>3932</v>
      </c>
    </row>
    <row r="122" spans="1:7" x14ac:dyDescent="0.2">
      <c r="A122" s="4" t="s">
        <v>2863</v>
      </c>
      <c r="B122" s="4" t="s">
        <v>1639</v>
      </c>
      <c r="C122" s="4" t="s">
        <v>4126</v>
      </c>
      <c r="D122" s="4" t="s">
        <v>56</v>
      </c>
      <c r="E122" s="4" t="s">
        <v>2926</v>
      </c>
      <c r="F122" s="4">
        <v>42</v>
      </c>
      <c r="G122" s="4" t="s">
        <v>3932</v>
      </c>
    </row>
    <row r="123" spans="1:7" x14ac:dyDescent="0.2">
      <c r="A123" s="4" t="s">
        <v>2559</v>
      </c>
      <c r="B123" s="4" t="s">
        <v>1639</v>
      </c>
      <c r="C123" s="4" t="s">
        <v>4127</v>
      </c>
      <c r="D123" s="4" t="s">
        <v>57</v>
      </c>
      <c r="E123" s="4" t="s">
        <v>2788</v>
      </c>
      <c r="F123" s="4">
        <v>68</v>
      </c>
      <c r="G123" s="4" t="s">
        <v>3930</v>
      </c>
    </row>
    <row r="124" spans="1:7" x14ac:dyDescent="0.2">
      <c r="A124" s="4" t="s">
        <v>4128</v>
      </c>
      <c r="B124" s="4" t="s">
        <v>1639</v>
      </c>
      <c r="C124" s="4" t="s">
        <v>4129</v>
      </c>
      <c r="D124" s="4" t="s">
        <v>57</v>
      </c>
      <c r="E124" s="4" t="s">
        <v>2008</v>
      </c>
      <c r="F124" s="4">
        <v>71</v>
      </c>
      <c r="G124" s="4" t="s">
        <v>3932</v>
      </c>
    </row>
    <row r="125" spans="1:7" x14ac:dyDescent="0.2">
      <c r="A125" s="4" t="s">
        <v>2005</v>
      </c>
      <c r="B125" s="4" t="s">
        <v>1639</v>
      </c>
      <c r="C125" s="4" t="s">
        <v>4130</v>
      </c>
      <c r="D125" s="4" t="s">
        <v>64</v>
      </c>
      <c r="E125" s="4" t="s">
        <v>3941</v>
      </c>
      <c r="F125" s="4">
        <v>72</v>
      </c>
      <c r="G125" s="4" t="s">
        <v>3928</v>
      </c>
    </row>
    <row r="126" spans="1:7" x14ac:dyDescent="0.2">
      <c r="A126" s="4" t="s">
        <v>4131</v>
      </c>
      <c r="B126" s="4" t="s">
        <v>1643</v>
      </c>
      <c r="C126" s="4" t="s">
        <v>4132</v>
      </c>
      <c r="D126" s="4" t="s">
        <v>63</v>
      </c>
      <c r="E126" s="4" t="s">
        <v>2930</v>
      </c>
      <c r="F126" s="4">
        <v>18</v>
      </c>
      <c r="G126" s="4" t="s">
        <v>3928</v>
      </c>
    </row>
    <row r="127" spans="1:7" x14ac:dyDescent="0.2">
      <c r="A127" s="4" t="s">
        <v>2205</v>
      </c>
      <c r="B127" s="4" t="s">
        <v>1643</v>
      </c>
      <c r="C127" s="4" t="s">
        <v>4133</v>
      </c>
      <c r="D127" s="4" t="s">
        <v>59</v>
      </c>
      <c r="E127" s="4" t="s">
        <v>2144</v>
      </c>
      <c r="F127" s="4">
        <v>17</v>
      </c>
      <c r="G127" s="4" t="s">
        <v>3932</v>
      </c>
    </row>
    <row r="128" spans="1:7" x14ac:dyDescent="0.2">
      <c r="A128" s="4" t="s">
        <v>4134</v>
      </c>
      <c r="B128" s="4" t="s">
        <v>1643</v>
      </c>
      <c r="C128" s="4" t="s">
        <v>4135</v>
      </c>
      <c r="D128" s="4" t="s">
        <v>62</v>
      </c>
      <c r="E128" s="4" t="s">
        <v>4136</v>
      </c>
      <c r="F128" s="4">
        <v>18</v>
      </c>
      <c r="G128" s="4" t="s">
        <v>3930</v>
      </c>
    </row>
    <row r="129" spans="1:7" x14ac:dyDescent="0.2">
      <c r="A129" s="4" t="s">
        <v>2141</v>
      </c>
      <c r="B129" s="4" t="s">
        <v>1643</v>
      </c>
      <c r="C129" s="4" t="s">
        <v>4137</v>
      </c>
      <c r="D129" s="4" t="s">
        <v>56</v>
      </c>
      <c r="E129" s="4" t="s">
        <v>2668</v>
      </c>
      <c r="F129" s="4">
        <v>21</v>
      </c>
      <c r="G129" s="4" t="s">
        <v>3928</v>
      </c>
    </row>
    <row r="130" spans="1:7" x14ac:dyDescent="0.2">
      <c r="A130" s="4" t="s">
        <v>4138</v>
      </c>
      <c r="B130" s="4" t="s">
        <v>1643</v>
      </c>
      <c r="C130" s="4" t="s">
        <v>4139</v>
      </c>
      <c r="D130" s="4" t="s">
        <v>59</v>
      </c>
      <c r="E130" s="4" t="s">
        <v>2068</v>
      </c>
      <c r="F130" s="4">
        <v>22</v>
      </c>
      <c r="G130" s="4" t="s">
        <v>3932</v>
      </c>
    </row>
    <row r="131" spans="1:7" x14ac:dyDescent="0.2">
      <c r="A131" s="4" t="s">
        <v>2105</v>
      </c>
      <c r="B131" s="4" t="s">
        <v>1643</v>
      </c>
      <c r="C131" s="4" t="s">
        <v>4140</v>
      </c>
      <c r="D131" s="4" t="s">
        <v>56</v>
      </c>
      <c r="E131" s="4" t="s">
        <v>3563</v>
      </c>
      <c r="F131" s="4">
        <v>20</v>
      </c>
      <c r="G131" s="4" t="s">
        <v>3932</v>
      </c>
    </row>
    <row r="132" spans="1:7" x14ac:dyDescent="0.2">
      <c r="A132" s="4" t="s">
        <v>4141</v>
      </c>
      <c r="B132" s="4" t="s">
        <v>1647</v>
      </c>
      <c r="C132" s="4" t="s">
        <v>4142</v>
      </c>
      <c r="D132" s="4" t="s">
        <v>65</v>
      </c>
      <c r="E132" s="4" t="s">
        <v>2894</v>
      </c>
      <c r="F132" s="4">
        <v>102</v>
      </c>
      <c r="G132" s="4" t="s">
        <v>3932</v>
      </c>
    </row>
    <row r="133" spans="1:7" x14ac:dyDescent="0.2">
      <c r="A133" s="4" t="s">
        <v>4143</v>
      </c>
      <c r="B133" s="4" t="s">
        <v>1647</v>
      </c>
      <c r="C133" s="4" t="s">
        <v>4144</v>
      </c>
      <c r="D133" s="4" t="s">
        <v>57</v>
      </c>
      <c r="E133" s="4" t="s">
        <v>4145</v>
      </c>
      <c r="F133" s="4">
        <v>36</v>
      </c>
      <c r="G133" s="4" t="s">
        <v>3930</v>
      </c>
    </row>
    <row r="134" spans="1:7" x14ac:dyDescent="0.2">
      <c r="A134" s="4" t="s">
        <v>2060</v>
      </c>
      <c r="B134" s="4" t="s">
        <v>1647</v>
      </c>
      <c r="C134" s="4" t="s">
        <v>4146</v>
      </c>
      <c r="D134" s="4" t="s">
        <v>58</v>
      </c>
      <c r="E134" s="4" t="s">
        <v>3835</v>
      </c>
      <c r="F134" s="4">
        <v>49</v>
      </c>
      <c r="G134" s="4" t="s">
        <v>3928</v>
      </c>
    </row>
    <row r="135" spans="1:7" x14ac:dyDescent="0.2">
      <c r="A135" s="4" t="s">
        <v>4147</v>
      </c>
      <c r="B135" s="4" t="s">
        <v>1651</v>
      </c>
      <c r="C135" s="4" t="s">
        <v>4148</v>
      </c>
      <c r="D135" s="4" t="s">
        <v>65</v>
      </c>
      <c r="E135" s="4" t="s">
        <v>2679</v>
      </c>
      <c r="F135" s="4">
        <v>11</v>
      </c>
      <c r="G135" s="4" t="s">
        <v>3928</v>
      </c>
    </row>
    <row r="136" spans="1:7" x14ac:dyDescent="0.2">
      <c r="A136" s="4" t="s">
        <v>2220</v>
      </c>
      <c r="B136" s="4" t="s">
        <v>1651</v>
      </c>
      <c r="C136" s="4" t="s">
        <v>4149</v>
      </c>
      <c r="D136" s="4" t="s">
        <v>61</v>
      </c>
      <c r="E136" s="4" t="s">
        <v>2346</v>
      </c>
      <c r="F136" s="4">
        <v>25</v>
      </c>
      <c r="G136" s="4" t="s">
        <v>3930</v>
      </c>
    </row>
    <row r="137" spans="1:7" x14ac:dyDescent="0.2">
      <c r="A137" s="4" t="s">
        <v>2495</v>
      </c>
      <c r="B137" s="4" t="s">
        <v>1651</v>
      </c>
      <c r="C137" s="4" t="s">
        <v>4150</v>
      </c>
      <c r="D137" s="4" t="s">
        <v>57</v>
      </c>
      <c r="E137" s="4" t="s">
        <v>3261</v>
      </c>
      <c r="F137" s="4">
        <v>31</v>
      </c>
      <c r="G137" s="4" t="s">
        <v>3930</v>
      </c>
    </row>
    <row r="138" spans="1:7" x14ac:dyDescent="0.2">
      <c r="A138" s="4" t="s">
        <v>3695</v>
      </c>
      <c r="B138" s="4" t="s">
        <v>1651</v>
      </c>
      <c r="C138" s="4" t="s">
        <v>4151</v>
      </c>
      <c r="D138" s="4" t="s">
        <v>57</v>
      </c>
      <c r="E138" s="4" t="s">
        <v>3955</v>
      </c>
      <c r="F138" s="4">
        <v>16</v>
      </c>
      <c r="G138" s="4" t="s">
        <v>3930</v>
      </c>
    </row>
    <row r="139" spans="1:7" x14ac:dyDescent="0.2">
      <c r="A139" s="4" t="s">
        <v>4152</v>
      </c>
      <c r="B139" s="4" t="s">
        <v>1655</v>
      </c>
      <c r="C139" s="4" t="s">
        <v>4153</v>
      </c>
      <c r="D139" s="4" t="s">
        <v>58</v>
      </c>
      <c r="E139" s="4" t="s">
        <v>2368</v>
      </c>
      <c r="F139" s="4">
        <v>42</v>
      </c>
      <c r="G139" s="4" t="s">
        <v>3930</v>
      </c>
    </row>
    <row r="140" spans="1:7" x14ac:dyDescent="0.2">
      <c r="A140" s="4" t="s">
        <v>2754</v>
      </c>
      <c r="B140" s="4" t="s">
        <v>1655</v>
      </c>
      <c r="C140" s="4" t="s">
        <v>4154</v>
      </c>
      <c r="D140" s="4" t="s">
        <v>56</v>
      </c>
      <c r="E140" s="4" t="s">
        <v>4155</v>
      </c>
      <c r="F140" s="4">
        <v>16</v>
      </c>
      <c r="G140" s="4" t="s">
        <v>3928</v>
      </c>
    </row>
    <row r="141" spans="1:7" x14ac:dyDescent="0.2">
      <c r="A141" s="4" t="s">
        <v>3128</v>
      </c>
      <c r="B141" s="4" t="s">
        <v>1655</v>
      </c>
      <c r="C141" s="4" t="s">
        <v>4156</v>
      </c>
      <c r="D141" s="4" t="s">
        <v>57</v>
      </c>
      <c r="E141" s="4" t="s">
        <v>4157</v>
      </c>
      <c r="F141" s="4">
        <v>42</v>
      </c>
      <c r="G141" s="4" t="s">
        <v>3928</v>
      </c>
    </row>
    <row r="142" spans="1:7" x14ac:dyDescent="0.2">
      <c r="A142" s="4" t="s">
        <v>2858</v>
      </c>
      <c r="B142" s="4" t="s">
        <v>1655</v>
      </c>
      <c r="C142" s="4" t="s">
        <v>4158</v>
      </c>
      <c r="D142" s="4" t="s">
        <v>60</v>
      </c>
      <c r="E142" s="4" t="s">
        <v>2346</v>
      </c>
      <c r="F142" s="4">
        <v>25</v>
      </c>
      <c r="G142" s="4" t="s">
        <v>3928</v>
      </c>
    </row>
    <row r="143" spans="1:7" x14ac:dyDescent="0.2">
      <c r="A143" s="4" t="s">
        <v>2646</v>
      </c>
      <c r="B143" s="4" t="s">
        <v>1659</v>
      </c>
      <c r="C143" s="4" t="s">
        <v>4159</v>
      </c>
      <c r="D143" s="4" t="s">
        <v>58</v>
      </c>
      <c r="E143" s="4" t="s">
        <v>4160</v>
      </c>
      <c r="F143" s="4">
        <v>39</v>
      </c>
      <c r="G143" s="4" t="s">
        <v>3928</v>
      </c>
    </row>
    <row r="144" spans="1:7" x14ac:dyDescent="0.2">
      <c r="A144" s="4" t="s">
        <v>2378</v>
      </c>
      <c r="B144" s="4" t="s">
        <v>1659</v>
      </c>
      <c r="C144" s="4" t="s">
        <v>4161</v>
      </c>
      <c r="D144" s="4" t="s">
        <v>62</v>
      </c>
      <c r="E144" s="4" t="s">
        <v>2581</v>
      </c>
      <c r="F144" s="4">
        <v>64</v>
      </c>
      <c r="G144" s="4" t="s">
        <v>3930</v>
      </c>
    </row>
    <row r="145" spans="1:7" x14ac:dyDescent="0.2">
      <c r="A145" s="4" t="s">
        <v>4162</v>
      </c>
      <c r="B145" s="4" t="s">
        <v>1659</v>
      </c>
      <c r="C145" s="4" t="s">
        <v>4163</v>
      </c>
      <c r="D145" s="4" t="s">
        <v>60</v>
      </c>
      <c r="E145" s="4" t="s">
        <v>2798</v>
      </c>
      <c r="F145" s="4">
        <v>49</v>
      </c>
      <c r="G145" s="4" t="s">
        <v>3932</v>
      </c>
    </row>
    <row r="146" spans="1:7" x14ac:dyDescent="0.2">
      <c r="A146" s="4" t="s">
        <v>2406</v>
      </c>
      <c r="B146" s="4" t="s">
        <v>1659</v>
      </c>
      <c r="C146" s="4" t="s">
        <v>4164</v>
      </c>
      <c r="D146" s="4" t="s">
        <v>61</v>
      </c>
      <c r="E146" s="4" t="s">
        <v>4165</v>
      </c>
      <c r="F146" s="4">
        <v>51</v>
      </c>
      <c r="G146" s="4" t="s">
        <v>3930</v>
      </c>
    </row>
    <row r="147" spans="1:7" x14ac:dyDescent="0.2">
      <c r="A147" s="4" t="s">
        <v>4166</v>
      </c>
      <c r="B147" s="4" t="s">
        <v>1662</v>
      </c>
      <c r="C147" s="4" t="s">
        <v>4167</v>
      </c>
      <c r="D147" s="4" t="s">
        <v>58</v>
      </c>
      <c r="E147" s="4" t="s">
        <v>4168</v>
      </c>
      <c r="F147" s="4">
        <v>90</v>
      </c>
      <c r="G147" s="4" t="s">
        <v>3932</v>
      </c>
    </row>
    <row r="148" spans="1:7" x14ac:dyDescent="0.2">
      <c r="A148" s="4" t="s">
        <v>3230</v>
      </c>
      <c r="B148" s="4" t="s">
        <v>1662</v>
      </c>
      <c r="C148" s="4" t="s">
        <v>4169</v>
      </c>
      <c r="D148" s="4" t="s">
        <v>57</v>
      </c>
      <c r="E148" s="4" t="s">
        <v>4170</v>
      </c>
      <c r="F148" s="4">
        <v>146</v>
      </c>
      <c r="G148" s="4" t="s">
        <v>3930</v>
      </c>
    </row>
    <row r="149" spans="1:7" x14ac:dyDescent="0.2">
      <c r="A149" s="4" t="s">
        <v>2829</v>
      </c>
      <c r="B149" s="4" t="s">
        <v>1662</v>
      </c>
      <c r="C149" s="4" t="s">
        <v>4171</v>
      </c>
      <c r="D149" s="4" t="s">
        <v>57</v>
      </c>
      <c r="E149" s="4" t="s">
        <v>4172</v>
      </c>
      <c r="F149" s="4">
        <v>116</v>
      </c>
      <c r="G149" s="4" t="s">
        <v>3928</v>
      </c>
    </row>
    <row r="150" spans="1:7" x14ac:dyDescent="0.2">
      <c r="A150" s="4" t="s">
        <v>3154</v>
      </c>
      <c r="B150" s="4" t="s">
        <v>1662</v>
      </c>
      <c r="C150" s="4" t="s">
        <v>4173</v>
      </c>
      <c r="D150" s="4" t="s">
        <v>61</v>
      </c>
      <c r="E150" s="4" t="s">
        <v>2636</v>
      </c>
      <c r="F150" s="4">
        <v>91</v>
      </c>
      <c r="G150" s="4" t="s">
        <v>3928</v>
      </c>
    </row>
    <row r="151" spans="1:7" x14ac:dyDescent="0.2">
      <c r="A151" s="4" t="s">
        <v>3403</v>
      </c>
      <c r="B151" s="4" t="s">
        <v>1666</v>
      </c>
      <c r="C151" s="4" t="s">
        <v>4174</v>
      </c>
      <c r="D151" s="4" t="s">
        <v>58</v>
      </c>
      <c r="E151" s="4" t="s">
        <v>2847</v>
      </c>
      <c r="F151" s="4">
        <v>379</v>
      </c>
      <c r="G151" s="4" t="s">
        <v>3930</v>
      </c>
    </row>
    <row r="152" spans="1:7" x14ac:dyDescent="0.2">
      <c r="A152" s="4" t="s">
        <v>4175</v>
      </c>
      <c r="B152" s="4" t="s">
        <v>1670</v>
      </c>
      <c r="C152" s="4" t="s">
        <v>4176</v>
      </c>
      <c r="D152" s="4" t="s">
        <v>65</v>
      </c>
      <c r="E152" s="4" t="s">
        <v>4177</v>
      </c>
      <c r="F152" s="4">
        <v>56</v>
      </c>
      <c r="G152" s="4" t="s">
        <v>3932</v>
      </c>
    </row>
    <row r="153" spans="1:7" x14ac:dyDescent="0.2">
      <c r="A153" s="4" t="s">
        <v>4178</v>
      </c>
      <c r="B153" s="4" t="s">
        <v>1670</v>
      </c>
      <c r="C153" s="4" t="s">
        <v>4179</v>
      </c>
      <c r="D153" s="4" t="s">
        <v>56</v>
      </c>
      <c r="E153" s="4" t="s">
        <v>1947</v>
      </c>
      <c r="F153" s="4">
        <v>36</v>
      </c>
      <c r="G153" s="4" t="s">
        <v>3932</v>
      </c>
    </row>
    <row r="154" spans="1:7" x14ac:dyDescent="0.2">
      <c r="A154" s="4" t="s">
        <v>1955</v>
      </c>
      <c r="B154" s="4" t="s">
        <v>1670</v>
      </c>
      <c r="C154" s="4" t="s">
        <v>4180</v>
      </c>
      <c r="D154" s="4" t="s">
        <v>60</v>
      </c>
      <c r="E154" s="4" t="s">
        <v>2149</v>
      </c>
      <c r="F154" s="4">
        <v>42</v>
      </c>
      <c r="G154" s="4" t="s">
        <v>3932</v>
      </c>
    </row>
    <row r="155" spans="1:7" x14ac:dyDescent="0.2">
      <c r="A155" s="4" t="s">
        <v>4181</v>
      </c>
      <c r="B155" s="4" t="s">
        <v>1670</v>
      </c>
      <c r="C155" s="4" t="s">
        <v>4182</v>
      </c>
      <c r="D155" s="4" t="s">
        <v>57</v>
      </c>
      <c r="E155" s="4" t="s">
        <v>2536</v>
      </c>
      <c r="F155" s="4">
        <v>28</v>
      </c>
      <c r="G155" s="4" t="s">
        <v>3930</v>
      </c>
    </row>
    <row r="156" spans="1:7" x14ac:dyDescent="0.2">
      <c r="A156" s="4" t="s">
        <v>2466</v>
      </c>
      <c r="B156" s="4" t="s">
        <v>1670</v>
      </c>
      <c r="C156" s="4" t="s">
        <v>4183</v>
      </c>
      <c r="D156" s="4" t="s">
        <v>65</v>
      </c>
      <c r="E156" s="4" t="s">
        <v>4184</v>
      </c>
      <c r="F156" s="4">
        <v>31</v>
      </c>
      <c r="G156" s="4" t="s">
        <v>3928</v>
      </c>
    </row>
    <row r="157" spans="1:7" x14ac:dyDescent="0.2">
      <c r="A157" s="4" t="s">
        <v>2670</v>
      </c>
      <c r="B157" s="4" t="s">
        <v>1673</v>
      </c>
      <c r="C157" s="4" t="s">
        <v>4185</v>
      </c>
      <c r="D157" s="4" t="s">
        <v>57</v>
      </c>
      <c r="E157" s="4" t="s">
        <v>4186</v>
      </c>
      <c r="F157" s="4">
        <v>304</v>
      </c>
      <c r="G157" s="4" t="s">
        <v>3930</v>
      </c>
    </row>
    <row r="158" spans="1:7" x14ac:dyDescent="0.2">
      <c r="A158" s="4" t="s">
        <v>3425</v>
      </c>
      <c r="B158" s="4" t="s">
        <v>1673</v>
      </c>
      <c r="C158" s="4" t="s">
        <v>4187</v>
      </c>
      <c r="D158" s="4" t="s">
        <v>60</v>
      </c>
      <c r="E158" s="4" t="s">
        <v>4188</v>
      </c>
      <c r="F158" s="4">
        <v>175</v>
      </c>
      <c r="G158" s="4" t="s">
        <v>3928</v>
      </c>
    </row>
    <row r="159" spans="1:7" x14ac:dyDescent="0.2">
      <c r="A159" s="4" t="s">
        <v>3367</v>
      </c>
      <c r="B159" s="4" t="s">
        <v>1677</v>
      </c>
      <c r="C159" s="4" t="s">
        <v>4189</v>
      </c>
      <c r="D159" s="4" t="s">
        <v>57</v>
      </c>
      <c r="E159" s="4" t="s">
        <v>2449</v>
      </c>
      <c r="F159" s="4">
        <v>81</v>
      </c>
      <c r="G159" s="4" t="s">
        <v>3930</v>
      </c>
    </row>
    <row r="160" spans="1:7" x14ac:dyDescent="0.2">
      <c r="A160" s="4" t="s">
        <v>3805</v>
      </c>
      <c r="B160" s="4" t="s">
        <v>1677</v>
      </c>
      <c r="C160" s="4" t="s">
        <v>4190</v>
      </c>
      <c r="D160" s="4" t="s">
        <v>61</v>
      </c>
      <c r="E160" s="4" t="s">
        <v>4191</v>
      </c>
      <c r="F160" s="4">
        <v>96</v>
      </c>
      <c r="G160" s="4" t="s">
        <v>3932</v>
      </c>
    </row>
    <row r="161" spans="1:7" x14ac:dyDescent="0.2">
      <c r="A161" s="4" t="s">
        <v>2120</v>
      </c>
      <c r="B161" s="4" t="s">
        <v>1681</v>
      </c>
      <c r="C161" s="4" t="s">
        <v>4192</v>
      </c>
      <c r="D161" s="4" t="s">
        <v>59</v>
      </c>
      <c r="E161" s="4" t="s">
        <v>2847</v>
      </c>
      <c r="F161" s="4">
        <v>69</v>
      </c>
      <c r="G161" s="4" t="s">
        <v>3930</v>
      </c>
    </row>
    <row r="162" spans="1:7" x14ac:dyDescent="0.2">
      <c r="A162" s="4" t="s">
        <v>2343</v>
      </c>
      <c r="B162" s="4" t="s">
        <v>1684</v>
      </c>
      <c r="C162" s="4" t="s">
        <v>4193</v>
      </c>
      <c r="D162" s="4" t="s">
        <v>62</v>
      </c>
      <c r="E162" s="4" t="s">
        <v>3572</v>
      </c>
      <c r="F162" s="4">
        <v>35</v>
      </c>
      <c r="G162" s="4" t="s">
        <v>3932</v>
      </c>
    </row>
    <row r="163" spans="1:7" x14ac:dyDescent="0.2">
      <c r="A163" s="4" t="s">
        <v>4194</v>
      </c>
      <c r="B163" s="4" t="s">
        <v>1684</v>
      </c>
      <c r="C163" s="4" t="s">
        <v>4195</v>
      </c>
      <c r="D163" s="4" t="s">
        <v>61</v>
      </c>
      <c r="E163" s="4" t="s">
        <v>4196</v>
      </c>
      <c r="F163" s="4">
        <v>25</v>
      </c>
      <c r="G163" s="4" t="s">
        <v>3928</v>
      </c>
    </row>
    <row r="164" spans="1:7" x14ac:dyDescent="0.2">
      <c r="A164" s="4" t="s">
        <v>4197</v>
      </c>
      <c r="B164" s="4" t="s">
        <v>1684</v>
      </c>
      <c r="C164" s="4" t="s">
        <v>4198</v>
      </c>
      <c r="D164" s="4" t="s">
        <v>64</v>
      </c>
      <c r="E164" s="4" t="s">
        <v>2544</v>
      </c>
      <c r="F164" s="4">
        <v>48</v>
      </c>
      <c r="G164" s="4" t="s">
        <v>3928</v>
      </c>
    </row>
    <row r="165" spans="1:7" x14ac:dyDescent="0.2">
      <c r="A165" s="4" t="s">
        <v>2533</v>
      </c>
      <c r="B165" s="4" t="s">
        <v>1684</v>
      </c>
      <c r="C165" s="4" t="s">
        <v>4199</v>
      </c>
      <c r="D165" s="4" t="s">
        <v>56</v>
      </c>
      <c r="E165" s="4" t="s">
        <v>4200</v>
      </c>
      <c r="F165" s="4">
        <v>32</v>
      </c>
      <c r="G165" s="4" t="s">
        <v>3932</v>
      </c>
    </row>
    <row r="166" spans="1:7" x14ac:dyDescent="0.2">
      <c r="A166" s="4" t="s">
        <v>4201</v>
      </c>
      <c r="B166" s="4" t="s">
        <v>1684</v>
      </c>
      <c r="C166" s="4" t="s">
        <v>4202</v>
      </c>
      <c r="D166" s="4" t="s">
        <v>59</v>
      </c>
      <c r="E166" s="4" t="s">
        <v>4203</v>
      </c>
      <c r="F166" s="4">
        <v>43</v>
      </c>
      <c r="G166" s="4" t="s">
        <v>3932</v>
      </c>
    </row>
    <row r="167" spans="1:7" x14ac:dyDescent="0.2">
      <c r="A167" s="4" t="s">
        <v>3808</v>
      </c>
      <c r="B167" s="4" t="s">
        <v>1688</v>
      </c>
      <c r="C167" s="4" t="s">
        <v>4204</v>
      </c>
      <c r="D167" s="4" t="s">
        <v>56</v>
      </c>
      <c r="E167" s="4" t="s">
        <v>3697</v>
      </c>
      <c r="F167" s="4">
        <v>115</v>
      </c>
      <c r="G167" s="4" t="s">
        <v>3932</v>
      </c>
    </row>
    <row r="168" spans="1:7" x14ac:dyDescent="0.2">
      <c r="A168" s="4" t="s">
        <v>4205</v>
      </c>
      <c r="B168" s="4" t="s">
        <v>1688</v>
      </c>
      <c r="C168" s="4" t="s">
        <v>4206</v>
      </c>
      <c r="D168" s="4" t="s">
        <v>57</v>
      </c>
      <c r="E168" s="4" t="s">
        <v>4207</v>
      </c>
      <c r="F168" s="4">
        <v>59</v>
      </c>
      <c r="G168" s="4" t="s">
        <v>3928</v>
      </c>
    </row>
    <row r="169" spans="1:7" x14ac:dyDescent="0.2">
      <c r="A169" s="4" t="s">
        <v>2453</v>
      </c>
      <c r="B169" s="4" t="s">
        <v>1688</v>
      </c>
      <c r="C169" s="4" t="s">
        <v>4208</v>
      </c>
      <c r="D169" s="4" t="s">
        <v>62</v>
      </c>
      <c r="E169" s="4" t="s">
        <v>3937</v>
      </c>
      <c r="F169" s="4">
        <v>124</v>
      </c>
      <c r="G169" s="4" t="s">
        <v>3928</v>
      </c>
    </row>
    <row r="170" spans="1:7" x14ac:dyDescent="0.2">
      <c r="A170" s="4" t="s">
        <v>4209</v>
      </c>
      <c r="B170" s="4" t="s">
        <v>1688</v>
      </c>
      <c r="C170" s="4" t="s">
        <v>4210</v>
      </c>
      <c r="D170" s="4" t="s">
        <v>61</v>
      </c>
      <c r="E170" s="4" t="s">
        <v>3331</v>
      </c>
      <c r="F170" s="4">
        <v>160</v>
      </c>
      <c r="G170" s="4" t="s">
        <v>3932</v>
      </c>
    </row>
    <row r="171" spans="1:7" x14ac:dyDescent="0.2">
      <c r="A171" s="4" t="s">
        <v>3244</v>
      </c>
      <c r="B171" s="4" t="s">
        <v>1691</v>
      </c>
      <c r="C171" s="4" t="s">
        <v>4211</v>
      </c>
      <c r="D171" s="4" t="s">
        <v>57</v>
      </c>
      <c r="E171" s="4" t="s">
        <v>2668</v>
      </c>
      <c r="F171" s="4">
        <v>27</v>
      </c>
      <c r="G171" s="4" t="s">
        <v>3928</v>
      </c>
    </row>
    <row r="172" spans="1:7" x14ac:dyDescent="0.2">
      <c r="A172" s="4" t="s">
        <v>4212</v>
      </c>
      <c r="B172" s="4" t="s">
        <v>1691</v>
      </c>
      <c r="C172" s="4" t="s">
        <v>4213</v>
      </c>
      <c r="D172" s="4" t="s">
        <v>60</v>
      </c>
      <c r="E172" s="4" t="s">
        <v>4214</v>
      </c>
      <c r="F172" s="4">
        <v>33</v>
      </c>
      <c r="G172" s="4" t="s">
        <v>3932</v>
      </c>
    </row>
    <row r="173" spans="1:7" x14ac:dyDescent="0.2">
      <c r="A173" s="4" t="s">
        <v>4215</v>
      </c>
      <c r="B173" s="4" t="s">
        <v>1691</v>
      </c>
      <c r="C173" s="4" t="s">
        <v>4216</v>
      </c>
      <c r="D173" s="4" t="s">
        <v>64</v>
      </c>
      <c r="E173" s="4" t="s">
        <v>3269</v>
      </c>
      <c r="F173" s="4">
        <v>35</v>
      </c>
      <c r="G173" s="4" t="s">
        <v>3930</v>
      </c>
    </row>
    <row r="174" spans="1:7" x14ac:dyDescent="0.2">
      <c r="A174" s="4" t="s">
        <v>2962</v>
      </c>
      <c r="B174" s="4" t="s">
        <v>1691</v>
      </c>
      <c r="C174" s="4" t="s">
        <v>4217</v>
      </c>
      <c r="D174" s="4" t="s">
        <v>57</v>
      </c>
      <c r="E174" s="4" t="s">
        <v>4218</v>
      </c>
      <c r="F174" s="4">
        <v>18</v>
      </c>
      <c r="G174" s="4" t="s">
        <v>3928</v>
      </c>
    </row>
    <row r="175" spans="1:7" x14ac:dyDescent="0.2">
      <c r="A175" s="4" t="s">
        <v>2210</v>
      </c>
      <c r="B175" s="4" t="s">
        <v>1691</v>
      </c>
      <c r="C175" s="4" t="s">
        <v>4219</v>
      </c>
      <c r="D175" s="4" t="s">
        <v>57</v>
      </c>
      <c r="E175" s="4" t="s">
        <v>3627</v>
      </c>
      <c r="F175" s="4">
        <v>18</v>
      </c>
      <c r="G175" s="4" t="s">
        <v>3930</v>
      </c>
    </row>
    <row r="176" spans="1:7" x14ac:dyDescent="0.2">
      <c r="A176" s="4" t="s">
        <v>4220</v>
      </c>
      <c r="B176" s="4" t="s">
        <v>1691</v>
      </c>
      <c r="C176" s="4" t="s">
        <v>4221</v>
      </c>
      <c r="D176" s="4" t="s">
        <v>59</v>
      </c>
      <c r="E176" s="4" t="s">
        <v>3401</v>
      </c>
      <c r="F176" s="4">
        <v>28</v>
      </c>
      <c r="G176" s="4" t="s">
        <v>3928</v>
      </c>
    </row>
    <row r="177" spans="1:7" x14ac:dyDescent="0.2">
      <c r="A177" s="4" t="s">
        <v>2475</v>
      </c>
      <c r="B177" s="4" t="s">
        <v>1695</v>
      </c>
      <c r="C177" s="4" t="s">
        <v>4222</v>
      </c>
      <c r="D177" s="4" t="s">
        <v>61</v>
      </c>
      <c r="E177" s="4" t="s">
        <v>2460</v>
      </c>
      <c r="F177" s="4">
        <v>210</v>
      </c>
      <c r="G177" s="4" t="s">
        <v>3930</v>
      </c>
    </row>
    <row r="178" spans="1:7" x14ac:dyDescent="0.2">
      <c r="A178" s="4" t="s">
        <v>2947</v>
      </c>
      <c r="B178" s="4" t="s">
        <v>1698</v>
      </c>
      <c r="C178" s="4" t="s">
        <v>4223</v>
      </c>
      <c r="D178" s="4" t="s">
        <v>62</v>
      </c>
      <c r="E178" s="4" t="s">
        <v>3071</v>
      </c>
      <c r="F178" s="4">
        <v>10</v>
      </c>
      <c r="G178" s="4" t="s">
        <v>3930</v>
      </c>
    </row>
    <row r="179" spans="1:7" x14ac:dyDescent="0.2">
      <c r="A179" s="4" t="s">
        <v>4224</v>
      </c>
      <c r="B179" s="4" t="s">
        <v>1698</v>
      </c>
      <c r="C179" s="4" t="s">
        <v>4225</v>
      </c>
      <c r="D179" s="4" t="s">
        <v>63</v>
      </c>
      <c r="E179" s="4" t="s">
        <v>4226</v>
      </c>
      <c r="F179" s="4">
        <v>10</v>
      </c>
      <c r="G179" s="4" t="s">
        <v>3932</v>
      </c>
    </row>
    <row r="180" spans="1:7" x14ac:dyDescent="0.2">
      <c r="A180" s="4" t="s">
        <v>2954</v>
      </c>
      <c r="B180" s="4" t="s">
        <v>1698</v>
      </c>
      <c r="C180" s="4" t="s">
        <v>4227</v>
      </c>
      <c r="D180" s="4" t="s">
        <v>57</v>
      </c>
      <c r="E180" s="4" t="s">
        <v>3471</v>
      </c>
      <c r="F180" s="4">
        <v>6</v>
      </c>
      <c r="G180" s="4" t="s">
        <v>3928</v>
      </c>
    </row>
    <row r="181" spans="1:7" x14ac:dyDescent="0.2">
      <c r="A181" s="4" t="s">
        <v>2615</v>
      </c>
      <c r="B181" s="4" t="s">
        <v>1698</v>
      </c>
      <c r="C181" s="4" t="s">
        <v>4228</v>
      </c>
      <c r="D181" s="4" t="s">
        <v>56</v>
      </c>
      <c r="E181" s="4" t="s">
        <v>4229</v>
      </c>
      <c r="F181" s="4">
        <v>5</v>
      </c>
      <c r="G181" s="4" t="s">
        <v>3930</v>
      </c>
    </row>
    <row r="182" spans="1:7" x14ac:dyDescent="0.2">
      <c r="A182" s="4" t="s">
        <v>4230</v>
      </c>
      <c r="B182" s="4" t="s">
        <v>1698</v>
      </c>
      <c r="C182" s="4" t="s">
        <v>4231</v>
      </c>
      <c r="D182" s="4" t="s">
        <v>57</v>
      </c>
      <c r="E182" s="4" t="s">
        <v>4232</v>
      </c>
      <c r="F182" s="4">
        <v>9</v>
      </c>
      <c r="G182" s="4" t="s">
        <v>3932</v>
      </c>
    </row>
    <row r="183" spans="1:7" x14ac:dyDescent="0.2">
      <c r="A183" s="4" t="s">
        <v>2257</v>
      </c>
      <c r="B183" s="4" t="s">
        <v>1698</v>
      </c>
      <c r="C183" s="4" t="s">
        <v>4233</v>
      </c>
      <c r="D183" s="4" t="s">
        <v>63</v>
      </c>
      <c r="E183" s="4" t="s">
        <v>2087</v>
      </c>
      <c r="F183" s="4">
        <v>5</v>
      </c>
      <c r="G183" s="4" t="s">
        <v>3932</v>
      </c>
    </row>
    <row r="184" spans="1:7" x14ac:dyDescent="0.2">
      <c r="A184" s="4" t="s">
        <v>2750</v>
      </c>
      <c r="B184" s="4" t="s">
        <v>1702</v>
      </c>
      <c r="C184" s="4" t="s">
        <v>4234</v>
      </c>
      <c r="D184" s="4" t="s">
        <v>62</v>
      </c>
      <c r="E184" s="4" t="s">
        <v>4235</v>
      </c>
      <c r="F184" s="4">
        <v>54</v>
      </c>
      <c r="G184" s="4" t="s">
        <v>3932</v>
      </c>
    </row>
    <row r="185" spans="1:7" x14ac:dyDescent="0.2">
      <c r="A185" s="4" t="s">
        <v>2190</v>
      </c>
      <c r="B185" s="4" t="s">
        <v>1702</v>
      </c>
      <c r="C185" s="4" t="s">
        <v>4236</v>
      </c>
      <c r="D185" s="4" t="s">
        <v>62</v>
      </c>
      <c r="E185" s="4" t="s">
        <v>2664</v>
      </c>
      <c r="F185" s="4">
        <v>38</v>
      </c>
      <c r="G185" s="4" t="s">
        <v>3932</v>
      </c>
    </row>
    <row r="186" spans="1:7" x14ac:dyDescent="0.2">
      <c r="A186" s="4" t="s">
        <v>2564</v>
      </c>
      <c r="B186" s="4" t="s">
        <v>1705</v>
      </c>
      <c r="C186" s="4" t="s">
        <v>4237</v>
      </c>
      <c r="D186" s="4" t="s">
        <v>59</v>
      </c>
      <c r="E186" s="4" t="s">
        <v>3835</v>
      </c>
      <c r="F186" s="4">
        <v>115</v>
      </c>
      <c r="G186" s="4" t="s">
        <v>3930</v>
      </c>
    </row>
    <row r="187" spans="1:7" x14ac:dyDescent="0.2">
      <c r="A187" s="4" t="s">
        <v>2824</v>
      </c>
      <c r="B187" s="4" t="s">
        <v>1705</v>
      </c>
      <c r="C187" s="4" t="s">
        <v>4238</v>
      </c>
      <c r="D187" s="4" t="s">
        <v>57</v>
      </c>
      <c r="E187" s="4" t="s">
        <v>2460</v>
      </c>
      <c r="F187" s="4">
        <v>59</v>
      </c>
      <c r="G187" s="4" t="s">
        <v>3928</v>
      </c>
    </row>
    <row r="188" spans="1:7" x14ac:dyDescent="0.2">
      <c r="A188" s="4" t="s">
        <v>2382</v>
      </c>
      <c r="B188" s="4" t="s">
        <v>1705</v>
      </c>
      <c r="C188" s="4" t="s">
        <v>4239</v>
      </c>
      <c r="D188" s="4" t="s">
        <v>60</v>
      </c>
      <c r="E188" s="4" t="s">
        <v>2082</v>
      </c>
      <c r="F188" s="4">
        <v>111</v>
      </c>
      <c r="G188" s="4" t="s">
        <v>3930</v>
      </c>
    </row>
    <row r="189" spans="1:7" x14ac:dyDescent="0.2">
      <c r="A189" s="4" t="s">
        <v>2873</v>
      </c>
      <c r="B189" s="4" t="s">
        <v>1709</v>
      </c>
      <c r="C189" s="4" t="s">
        <v>4240</v>
      </c>
      <c r="D189" s="4" t="s">
        <v>61</v>
      </c>
      <c r="E189" s="4" t="s">
        <v>2847</v>
      </c>
      <c r="F189" s="4">
        <v>121</v>
      </c>
      <c r="G189" s="4" t="s">
        <v>3932</v>
      </c>
    </row>
    <row r="190" spans="1:7" x14ac:dyDescent="0.2">
      <c r="A190" s="4" t="s">
        <v>2685</v>
      </c>
      <c r="B190" s="4" t="s">
        <v>1709</v>
      </c>
      <c r="C190" s="4" t="s">
        <v>4241</v>
      </c>
      <c r="D190" s="4" t="s">
        <v>63</v>
      </c>
      <c r="E190" s="4" t="s">
        <v>3678</v>
      </c>
      <c r="F190" s="4">
        <v>138</v>
      </c>
      <c r="G190" s="4" t="s">
        <v>3928</v>
      </c>
    </row>
    <row r="191" spans="1:7" x14ac:dyDescent="0.2">
      <c r="A191" s="4" t="s">
        <v>2555</v>
      </c>
      <c r="B191" s="4" t="s">
        <v>1713</v>
      </c>
      <c r="C191" s="4" t="s">
        <v>4242</v>
      </c>
      <c r="D191" s="4" t="s">
        <v>59</v>
      </c>
      <c r="E191" s="4" t="s">
        <v>2087</v>
      </c>
      <c r="F191" s="4">
        <v>28</v>
      </c>
      <c r="G191" s="4" t="s">
        <v>3928</v>
      </c>
    </row>
    <row r="192" spans="1:7" x14ac:dyDescent="0.2">
      <c r="A192" s="4" t="s">
        <v>2780</v>
      </c>
      <c r="B192" s="4" t="s">
        <v>1716</v>
      </c>
      <c r="C192" s="4" t="s">
        <v>4243</v>
      </c>
      <c r="D192" s="4" t="s">
        <v>59</v>
      </c>
      <c r="E192" s="4" t="s">
        <v>1976</v>
      </c>
      <c r="F192" s="4">
        <v>21</v>
      </c>
      <c r="G192" s="4" t="s">
        <v>3928</v>
      </c>
    </row>
    <row r="193" spans="1:7" x14ac:dyDescent="0.2">
      <c r="A193" s="4" t="s">
        <v>4244</v>
      </c>
      <c r="B193" s="4" t="s">
        <v>1716</v>
      </c>
      <c r="C193" s="4" t="s">
        <v>4245</v>
      </c>
      <c r="D193" s="4" t="s">
        <v>63</v>
      </c>
      <c r="E193" s="4" t="s">
        <v>4246</v>
      </c>
      <c r="F193" s="4">
        <v>23</v>
      </c>
      <c r="G193" s="4" t="s">
        <v>3930</v>
      </c>
    </row>
    <row r="194" spans="1:7" x14ac:dyDescent="0.2">
      <c r="A194" s="4" t="s">
        <v>1935</v>
      </c>
      <c r="B194" s="4" t="s">
        <v>1716</v>
      </c>
      <c r="C194" s="4" t="s">
        <v>4247</v>
      </c>
      <c r="D194" s="4" t="s">
        <v>65</v>
      </c>
      <c r="E194" s="4" t="s">
        <v>4248</v>
      </c>
      <c r="F194" s="4">
        <v>12</v>
      </c>
      <c r="G194" s="4" t="s">
        <v>3932</v>
      </c>
    </row>
    <row r="195" spans="1:7" x14ac:dyDescent="0.2">
      <c r="A195" s="4" t="s">
        <v>2819</v>
      </c>
      <c r="B195" s="4" t="s">
        <v>1716</v>
      </c>
      <c r="C195" s="4" t="s">
        <v>4249</v>
      </c>
      <c r="D195" s="4" t="s">
        <v>65</v>
      </c>
      <c r="E195" s="4" t="s">
        <v>2478</v>
      </c>
      <c r="F195" s="4">
        <v>10</v>
      </c>
      <c r="G195" s="4" t="s">
        <v>3928</v>
      </c>
    </row>
    <row r="196" spans="1:7" x14ac:dyDescent="0.2">
      <c r="A196" s="4" t="s">
        <v>4250</v>
      </c>
      <c r="B196" s="4" t="s">
        <v>1716</v>
      </c>
      <c r="C196" s="4" t="s">
        <v>4251</v>
      </c>
      <c r="D196" s="4" t="s">
        <v>61</v>
      </c>
      <c r="E196" s="4" t="s">
        <v>4252</v>
      </c>
      <c r="F196" s="4">
        <v>9</v>
      </c>
      <c r="G196" s="4" t="s">
        <v>3928</v>
      </c>
    </row>
    <row r="197" spans="1:7" x14ac:dyDescent="0.2">
      <c r="A197" s="4" t="s">
        <v>4253</v>
      </c>
      <c r="B197" s="4" t="s">
        <v>1720</v>
      </c>
      <c r="C197" s="4" t="s">
        <v>4254</v>
      </c>
      <c r="D197" s="4" t="s">
        <v>58</v>
      </c>
      <c r="E197" s="4" t="s">
        <v>2752</v>
      </c>
      <c r="F197" s="4">
        <v>14</v>
      </c>
      <c r="G197" s="4" t="s">
        <v>3928</v>
      </c>
    </row>
    <row r="198" spans="1:7" x14ac:dyDescent="0.2">
      <c r="A198" s="4" t="s">
        <v>2397</v>
      </c>
      <c r="B198" s="4" t="s">
        <v>1720</v>
      </c>
      <c r="C198" s="4" t="s">
        <v>4255</v>
      </c>
      <c r="D198" s="4" t="s">
        <v>56</v>
      </c>
      <c r="E198" s="4" t="s">
        <v>4256</v>
      </c>
      <c r="F198" s="4">
        <v>13</v>
      </c>
      <c r="G198" s="4" t="s">
        <v>3928</v>
      </c>
    </row>
    <row r="199" spans="1:7" x14ac:dyDescent="0.2">
      <c r="A199" s="4" t="s">
        <v>4257</v>
      </c>
      <c r="B199" s="4" t="s">
        <v>1724</v>
      </c>
      <c r="C199" s="4" t="s">
        <v>4258</v>
      </c>
      <c r="D199" s="4" t="s">
        <v>61</v>
      </c>
      <c r="E199" s="4" t="s">
        <v>2866</v>
      </c>
      <c r="F199" s="4">
        <v>88</v>
      </c>
      <c r="G199" s="4" t="s">
        <v>3930</v>
      </c>
    </row>
    <row r="200" spans="1:7" x14ac:dyDescent="0.2">
      <c r="A200" s="4" t="s">
        <v>2374</v>
      </c>
      <c r="B200" s="4" t="s">
        <v>1724</v>
      </c>
      <c r="C200" s="4" t="s">
        <v>4259</v>
      </c>
      <c r="D200" s="4" t="s">
        <v>58</v>
      </c>
      <c r="E200" s="4" t="s">
        <v>3115</v>
      </c>
      <c r="F200" s="4">
        <v>62</v>
      </c>
      <c r="G200" s="4" t="s">
        <v>3930</v>
      </c>
    </row>
    <row r="201" spans="1:7" x14ac:dyDescent="0.2">
      <c r="A201" s="4" t="s">
        <v>4260</v>
      </c>
      <c r="B201" s="4" t="s">
        <v>1724</v>
      </c>
      <c r="C201" s="4" t="s">
        <v>4261</v>
      </c>
      <c r="D201" s="4" t="s">
        <v>60</v>
      </c>
      <c r="E201" s="4" t="s">
        <v>2368</v>
      </c>
      <c r="F201" s="4">
        <v>75</v>
      </c>
      <c r="G201" s="4" t="s">
        <v>3928</v>
      </c>
    </row>
    <row r="202" spans="1:7" x14ac:dyDescent="0.2">
      <c r="A202" s="4" t="s">
        <v>2417</v>
      </c>
      <c r="B202" s="4" t="s">
        <v>1724</v>
      </c>
      <c r="C202" s="4" t="s">
        <v>4262</v>
      </c>
      <c r="D202" s="4" t="s">
        <v>59</v>
      </c>
      <c r="E202" s="4" t="s">
        <v>4263</v>
      </c>
      <c r="F202" s="4">
        <v>92</v>
      </c>
      <c r="G202" s="4" t="s">
        <v>3930</v>
      </c>
    </row>
    <row r="203" spans="1:7" x14ac:dyDescent="0.2">
      <c r="A203" s="4" t="s">
        <v>4264</v>
      </c>
      <c r="B203" s="4" t="s">
        <v>1724</v>
      </c>
      <c r="C203" s="4" t="s">
        <v>4265</v>
      </c>
      <c r="D203" s="4" t="s">
        <v>56</v>
      </c>
      <c r="E203" s="4" t="s">
        <v>4266</v>
      </c>
      <c r="F203" s="4">
        <v>84</v>
      </c>
      <c r="G203" s="4" t="s">
        <v>3930</v>
      </c>
    </row>
    <row r="204" spans="1:7" x14ac:dyDescent="0.2">
      <c r="A204" s="4" t="s">
        <v>1978</v>
      </c>
      <c r="B204" s="4" t="s">
        <v>1727</v>
      </c>
      <c r="C204" s="4" t="s">
        <v>4267</v>
      </c>
      <c r="D204" s="4" t="s">
        <v>63</v>
      </c>
      <c r="E204" s="4" t="s">
        <v>1947</v>
      </c>
      <c r="F204" s="4">
        <v>121</v>
      </c>
      <c r="G204" s="4" t="s">
        <v>3932</v>
      </c>
    </row>
    <row r="205" spans="1:7" x14ac:dyDescent="0.2">
      <c r="A205" s="4" t="s">
        <v>3192</v>
      </c>
      <c r="B205" s="4" t="s">
        <v>1727</v>
      </c>
      <c r="C205" s="4" t="s">
        <v>4268</v>
      </c>
      <c r="D205" s="4" t="s">
        <v>57</v>
      </c>
      <c r="E205" s="4" t="s">
        <v>4062</v>
      </c>
      <c r="F205" s="4">
        <v>52</v>
      </c>
      <c r="G205" s="4" t="s">
        <v>3928</v>
      </c>
    </row>
    <row r="206" spans="1:7" x14ac:dyDescent="0.2">
      <c r="A206" s="4" t="s">
        <v>2689</v>
      </c>
      <c r="B206" s="4" t="s">
        <v>1732</v>
      </c>
      <c r="C206" s="4" t="s">
        <v>4269</v>
      </c>
      <c r="D206" s="4" t="s">
        <v>59</v>
      </c>
      <c r="E206" s="4" t="s">
        <v>4270</v>
      </c>
      <c r="F206" s="4">
        <v>37</v>
      </c>
      <c r="G206" s="4" t="s">
        <v>3930</v>
      </c>
    </row>
    <row r="207" spans="1:7" x14ac:dyDescent="0.2">
      <c r="A207" s="4" t="s">
        <v>2330</v>
      </c>
      <c r="B207" s="4" t="s">
        <v>1732</v>
      </c>
      <c r="C207" s="4" t="s">
        <v>4271</v>
      </c>
      <c r="D207" s="4" t="s">
        <v>62</v>
      </c>
      <c r="E207" s="4" t="s">
        <v>2581</v>
      </c>
      <c r="F207" s="4">
        <v>28</v>
      </c>
      <c r="G207" s="4" t="s">
        <v>3932</v>
      </c>
    </row>
    <row r="208" spans="1:7" x14ac:dyDescent="0.2">
      <c r="A208" s="4" t="s">
        <v>2281</v>
      </c>
      <c r="B208" s="4" t="s">
        <v>1732</v>
      </c>
      <c r="C208" s="4" t="s">
        <v>4272</v>
      </c>
      <c r="D208" s="4" t="s">
        <v>64</v>
      </c>
      <c r="E208" s="4" t="s">
        <v>4273</v>
      </c>
      <c r="F208" s="4">
        <v>29</v>
      </c>
      <c r="G208" s="4" t="s">
        <v>3930</v>
      </c>
    </row>
    <row r="209" spans="1:7" x14ac:dyDescent="0.2">
      <c r="A209" s="4" t="s">
        <v>2935</v>
      </c>
      <c r="B209" s="4" t="s">
        <v>1735</v>
      </c>
      <c r="C209" s="4" t="s">
        <v>4274</v>
      </c>
      <c r="D209" s="4" t="s">
        <v>56</v>
      </c>
      <c r="E209" s="4" t="s">
        <v>4275</v>
      </c>
      <c r="F209" s="4">
        <v>310</v>
      </c>
      <c r="G209" s="4" t="s">
        <v>3932</v>
      </c>
    </row>
    <row r="210" spans="1:7" x14ac:dyDescent="0.2">
      <c r="A210" s="4" t="s">
        <v>2215</v>
      </c>
      <c r="B210" s="4" t="s">
        <v>1739</v>
      </c>
      <c r="C210" s="4" t="s">
        <v>4276</v>
      </c>
      <c r="D210" s="4" t="s">
        <v>65</v>
      </c>
      <c r="E210" s="4" t="s">
        <v>2353</v>
      </c>
      <c r="F210" s="4">
        <v>113</v>
      </c>
      <c r="G210" s="4" t="s">
        <v>3930</v>
      </c>
    </row>
    <row r="211" spans="1:7" x14ac:dyDescent="0.2">
      <c r="A211" s="4" t="s">
        <v>3449</v>
      </c>
      <c r="B211" s="4" t="s">
        <v>1739</v>
      </c>
      <c r="C211" s="4" t="s">
        <v>4277</v>
      </c>
      <c r="D211" s="4" t="s">
        <v>63</v>
      </c>
      <c r="E211" s="4" t="s">
        <v>3843</v>
      </c>
      <c r="F211" s="4">
        <v>141</v>
      </c>
      <c r="G211" s="4" t="s">
        <v>3930</v>
      </c>
    </row>
    <row r="212" spans="1:7" x14ac:dyDescent="0.2">
      <c r="A212" s="4" t="s">
        <v>2185</v>
      </c>
      <c r="B212" s="4" t="s">
        <v>1742</v>
      </c>
      <c r="C212" s="4" t="s">
        <v>4278</v>
      </c>
      <c r="D212" s="4" t="s">
        <v>57</v>
      </c>
      <c r="E212" s="4" t="s">
        <v>4279</v>
      </c>
      <c r="F212" s="4">
        <v>11</v>
      </c>
      <c r="G212" s="4" t="s">
        <v>3928</v>
      </c>
    </row>
    <row r="213" spans="1:7" x14ac:dyDescent="0.2">
      <c r="A213" s="4" t="s">
        <v>2015</v>
      </c>
      <c r="B213" s="4" t="s">
        <v>1742</v>
      </c>
      <c r="C213" s="4" t="s">
        <v>4280</v>
      </c>
      <c r="D213" s="4" t="s">
        <v>64</v>
      </c>
      <c r="E213" s="4" t="s">
        <v>4281</v>
      </c>
      <c r="F213" s="4">
        <v>11</v>
      </c>
      <c r="G213" s="4" t="s">
        <v>3932</v>
      </c>
    </row>
    <row r="214" spans="1:7" x14ac:dyDescent="0.2">
      <c r="A214" s="4" t="s">
        <v>3252</v>
      </c>
      <c r="B214" s="4" t="s">
        <v>1746</v>
      </c>
      <c r="C214" s="4" t="s">
        <v>4282</v>
      </c>
      <c r="D214" s="4" t="s">
        <v>56</v>
      </c>
      <c r="E214" s="4" t="s">
        <v>2668</v>
      </c>
      <c r="F214" s="4">
        <v>68</v>
      </c>
      <c r="G214" s="4" t="s">
        <v>3930</v>
      </c>
    </row>
    <row r="215" spans="1:7" x14ac:dyDescent="0.2">
      <c r="A215" s="4" t="s">
        <v>2084</v>
      </c>
      <c r="B215" s="4" t="s">
        <v>1746</v>
      </c>
      <c r="C215" s="4" t="s">
        <v>4283</v>
      </c>
      <c r="D215" s="4" t="s">
        <v>56</v>
      </c>
      <c r="E215" s="4" t="s">
        <v>4284</v>
      </c>
      <c r="F215" s="4">
        <v>60</v>
      </c>
      <c r="G215" s="4" t="s">
        <v>3932</v>
      </c>
    </row>
    <row r="216" spans="1:7" x14ac:dyDescent="0.2">
      <c r="A216" s="4" t="s">
        <v>2590</v>
      </c>
      <c r="B216" s="4" t="s">
        <v>1746</v>
      </c>
      <c r="C216" s="4" t="s">
        <v>4285</v>
      </c>
      <c r="D216" s="4" t="s">
        <v>58</v>
      </c>
      <c r="E216" s="4" t="s">
        <v>4286</v>
      </c>
      <c r="F216" s="4">
        <v>43</v>
      </c>
      <c r="G216" s="4" t="s">
        <v>3928</v>
      </c>
    </row>
    <row r="217" spans="1:7" x14ac:dyDescent="0.2">
      <c r="A217" s="4" t="s">
        <v>2983</v>
      </c>
      <c r="B217" s="4" t="s">
        <v>1746</v>
      </c>
      <c r="C217" s="4" t="s">
        <v>4287</v>
      </c>
      <c r="D217" s="4" t="s">
        <v>64</v>
      </c>
      <c r="E217" s="4" t="s">
        <v>2368</v>
      </c>
      <c r="F217" s="4">
        <v>32</v>
      </c>
      <c r="G217" s="4" t="s">
        <v>3932</v>
      </c>
    </row>
    <row r="218" spans="1:7" x14ac:dyDescent="0.2">
      <c r="A218" s="4" t="s">
        <v>2446</v>
      </c>
      <c r="B218" s="4" t="s">
        <v>1749</v>
      </c>
      <c r="C218" s="4" t="s">
        <v>4288</v>
      </c>
      <c r="D218" s="4" t="s">
        <v>65</v>
      </c>
      <c r="E218" s="4" t="s">
        <v>3031</v>
      </c>
      <c r="F218" s="4">
        <v>19</v>
      </c>
      <c r="G218" s="4" t="s">
        <v>3932</v>
      </c>
    </row>
    <row r="219" spans="1:7" x14ac:dyDescent="0.2">
      <c r="A219" s="4" t="s">
        <v>4289</v>
      </c>
      <c r="B219" s="4" t="s">
        <v>1749</v>
      </c>
      <c r="C219" s="4" t="s">
        <v>4290</v>
      </c>
      <c r="D219" s="4" t="s">
        <v>56</v>
      </c>
      <c r="E219" s="4" t="s">
        <v>1976</v>
      </c>
      <c r="F219" s="4">
        <v>46</v>
      </c>
      <c r="G219" s="4" t="s">
        <v>3928</v>
      </c>
    </row>
    <row r="220" spans="1:7" x14ac:dyDescent="0.2">
      <c r="A220" s="4" t="s">
        <v>4291</v>
      </c>
      <c r="B220" s="4" t="s">
        <v>1749</v>
      </c>
      <c r="C220" s="4" t="s">
        <v>4292</v>
      </c>
      <c r="D220" s="4" t="s">
        <v>61</v>
      </c>
      <c r="E220" s="4" t="s">
        <v>3009</v>
      </c>
      <c r="F220" s="4">
        <v>23</v>
      </c>
      <c r="G220" s="4" t="s">
        <v>3928</v>
      </c>
    </row>
    <row r="221" spans="1:7" x14ac:dyDescent="0.2">
      <c r="A221" s="4" t="s">
        <v>4293</v>
      </c>
      <c r="B221" s="4" t="s">
        <v>1749</v>
      </c>
      <c r="C221" s="4" t="s">
        <v>4294</v>
      </c>
      <c r="D221" s="4" t="s">
        <v>60</v>
      </c>
      <c r="E221" s="4" t="s">
        <v>4295</v>
      </c>
      <c r="F221" s="4">
        <v>27</v>
      </c>
      <c r="G221" s="4" t="s">
        <v>3930</v>
      </c>
    </row>
    <row r="222" spans="1:7" x14ac:dyDescent="0.2">
      <c r="A222" s="4" t="s">
        <v>2040</v>
      </c>
      <c r="B222" s="4" t="s">
        <v>1749</v>
      </c>
      <c r="C222" s="4" t="s">
        <v>4296</v>
      </c>
      <c r="D222" s="4" t="s">
        <v>61</v>
      </c>
      <c r="E222" s="4" t="s">
        <v>2272</v>
      </c>
      <c r="F222" s="4">
        <v>24</v>
      </c>
      <c r="G222" s="4" t="s">
        <v>3928</v>
      </c>
    </row>
    <row r="223" spans="1:7" x14ac:dyDescent="0.2">
      <c r="A223" s="4" t="s">
        <v>4297</v>
      </c>
      <c r="B223" s="4" t="s">
        <v>1753</v>
      </c>
      <c r="C223" s="4" t="s">
        <v>4298</v>
      </c>
      <c r="D223" s="4" t="s">
        <v>57</v>
      </c>
      <c r="E223" s="4" t="s">
        <v>4047</v>
      </c>
      <c r="F223" s="4">
        <v>63</v>
      </c>
      <c r="G223" s="4" t="s">
        <v>3932</v>
      </c>
    </row>
    <row r="224" spans="1:7" x14ac:dyDescent="0.2">
      <c r="A224" s="4" t="s">
        <v>2485</v>
      </c>
      <c r="B224" s="4" t="s">
        <v>1753</v>
      </c>
      <c r="C224" s="4" t="s">
        <v>4299</v>
      </c>
      <c r="D224" s="4" t="s">
        <v>65</v>
      </c>
      <c r="E224" s="4" t="s">
        <v>2871</v>
      </c>
      <c r="F224" s="4">
        <v>42</v>
      </c>
      <c r="G224" s="4" t="s">
        <v>3928</v>
      </c>
    </row>
    <row r="225" spans="1:7" x14ac:dyDescent="0.2">
      <c r="A225" s="4" t="s">
        <v>4300</v>
      </c>
      <c r="B225" s="4" t="s">
        <v>1753</v>
      </c>
      <c r="C225" s="4" t="s">
        <v>4301</v>
      </c>
      <c r="D225" s="4" t="s">
        <v>64</v>
      </c>
      <c r="E225" s="4" t="s">
        <v>2353</v>
      </c>
      <c r="F225" s="4">
        <v>75</v>
      </c>
      <c r="G225" s="4" t="s">
        <v>3930</v>
      </c>
    </row>
    <row r="226" spans="1:7" x14ac:dyDescent="0.2">
      <c r="A226" s="4" t="s">
        <v>4302</v>
      </c>
      <c r="B226" s="4" t="s">
        <v>1756</v>
      </c>
      <c r="C226" s="4" t="s">
        <v>4303</v>
      </c>
      <c r="D226" s="4" t="s">
        <v>60</v>
      </c>
      <c r="E226" s="4" t="s">
        <v>3115</v>
      </c>
      <c r="F226" s="4">
        <v>9</v>
      </c>
      <c r="G226" s="4" t="s">
        <v>3930</v>
      </c>
    </row>
    <row r="227" spans="1:7" x14ac:dyDescent="0.2">
      <c r="A227" s="4" t="s">
        <v>2196</v>
      </c>
      <c r="B227" s="4" t="s">
        <v>1756</v>
      </c>
      <c r="C227" s="4" t="s">
        <v>4304</v>
      </c>
      <c r="D227" s="4" t="s">
        <v>56</v>
      </c>
      <c r="E227" s="4" t="s">
        <v>4305</v>
      </c>
      <c r="F227" s="4">
        <v>22</v>
      </c>
      <c r="G227" s="4" t="s">
        <v>3928</v>
      </c>
    </row>
    <row r="228" spans="1:7" x14ac:dyDescent="0.2">
      <c r="A228" s="4" t="s">
        <v>3183</v>
      </c>
      <c r="B228" s="4" t="s">
        <v>1756</v>
      </c>
      <c r="C228" s="4" t="s">
        <v>4306</v>
      </c>
      <c r="D228" s="4" t="s">
        <v>63</v>
      </c>
      <c r="E228" s="4" t="s">
        <v>4307</v>
      </c>
      <c r="F228" s="4">
        <v>12</v>
      </c>
      <c r="G228" s="4" t="s">
        <v>3928</v>
      </c>
    </row>
    <row r="229" spans="1:7" x14ac:dyDescent="0.2">
      <c r="A229" s="4" t="s">
        <v>4308</v>
      </c>
      <c r="B229" s="4" t="s">
        <v>1756</v>
      </c>
      <c r="C229" s="4" t="s">
        <v>4309</v>
      </c>
      <c r="D229" s="4" t="s">
        <v>60</v>
      </c>
      <c r="E229" s="4" t="s">
        <v>2082</v>
      </c>
      <c r="F229" s="4">
        <v>17</v>
      </c>
      <c r="G229" s="4" t="s">
        <v>3932</v>
      </c>
    </row>
    <row r="230" spans="1:7" x14ac:dyDescent="0.2">
      <c r="A230" s="4" t="s">
        <v>3273</v>
      </c>
      <c r="B230" s="4" t="s">
        <v>1756</v>
      </c>
      <c r="C230" s="4" t="s">
        <v>4310</v>
      </c>
      <c r="D230" s="4" t="s">
        <v>58</v>
      </c>
      <c r="E230" s="4" t="s">
        <v>3232</v>
      </c>
      <c r="F230" s="4">
        <v>23</v>
      </c>
      <c r="G230" s="4" t="s">
        <v>3930</v>
      </c>
    </row>
    <row r="231" spans="1:7" x14ac:dyDescent="0.2">
      <c r="A231" s="4" t="s">
        <v>2694</v>
      </c>
      <c r="B231" s="4" t="s">
        <v>1760</v>
      </c>
      <c r="C231" s="4" t="s">
        <v>4311</v>
      </c>
      <c r="D231" s="4" t="s">
        <v>57</v>
      </c>
      <c r="E231" s="4" t="s">
        <v>3866</v>
      </c>
      <c r="F231" s="4">
        <v>18</v>
      </c>
      <c r="G231" s="4" t="s">
        <v>3932</v>
      </c>
    </row>
    <row r="232" spans="1:7" x14ac:dyDescent="0.2">
      <c r="A232" s="4" t="s">
        <v>2546</v>
      </c>
      <c r="B232" s="4" t="s">
        <v>1760</v>
      </c>
      <c r="C232" s="4" t="s">
        <v>4312</v>
      </c>
      <c r="D232" s="4" t="s">
        <v>63</v>
      </c>
      <c r="E232" s="4" t="s">
        <v>3941</v>
      </c>
      <c r="F232" s="4">
        <v>16</v>
      </c>
      <c r="G232" s="4" t="s">
        <v>3928</v>
      </c>
    </row>
    <row r="233" spans="1:7" x14ac:dyDescent="0.2">
      <c r="A233" s="4" t="s">
        <v>4313</v>
      </c>
      <c r="B233" s="4" t="s">
        <v>1760</v>
      </c>
      <c r="C233" s="4" t="s">
        <v>4314</v>
      </c>
      <c r="D233" s="4" t="s">
        <v>62</v>
      </c>
      <c r="E233" s="4" t="s">
        <v>2395</v>
      </c>
      <c r="F233" s="4">
        <v>13</v>
      </c>
      <c r="G233" s="4" t="s">
        <v>3932</v>
      </c>
    </row>
    <row r="234" spans="1:7" x14ac:dyDescent="0.2">
      <c r="A234" s="4" t="s">
        <v>2046</v>
      </c>
      <c r="B234" s="4" t="s">
        <v>1764</v>
      </c>
      <c r="C234" s="4" t="s">
        <v>4315</v>
      </c>
      <c r="D234" s="4" t="s">
        <v>59</v>
      </c>
      <c r="E234" s="4" t="s">
        <v>2605</v>
      </c>
      <c r="F234" s="4">
        <v>429</v>
      </c>
      <c r="G234" s="4" t="s">
        <v>3928</v>
      </c>
    </row>
    <row r="235" spans="1:7" x14ac:dyDescent="0.2">
      <c r="A235" s="4" t="s">
        <v>3521</v>
      </c>
      <c r="B235" s="4" t="s">
        <v>1768</v>
      </c>
      <c r="C235" s="4" t="s">
        <v>4316</v>
      </c>
      <c r="D235" s="4" t="s">
        <v>62</v>
      </c>
      <c r="E235" s="4" t="s">
        <v>1998</v>
      </c>
      <c r="F235" s="4">
        <v>37</v>
      </c>
      <c r="G235" s="4" t="s">
        <v>3930</v>
      </c>
    </row>
    <row r="236" spans="1:7" x14ac:dyDescent="0.2">
      <c r="A236" s="4" t="s">
        <v>2462</v>
      </c>
      <c r="B236" s="4" t="s">
        <v>1768</v>
      </c>
      <c r="C236" s="4" t="s">
        <v>4317</v>
      </c>
      <c r="D236" s="4" t="s">
        <v>63</v>
      </c>
      <c r="E236" s="4" t="s">
        <v>4318</v>
      </c>
      <c r="F236" s="4">
        <v>47</v>
      </c>
      <c r="G236" s="4" t="s">
        <v>3928</v>
      </c>
    </row>
    <row r="237" spans="1:7" x14ac:dyDescent="0.2">
      <c r="A237" s="4" t="s">
        <v>2815</v>
      </c>
      <c r="B237" s="4" t="s">
        <v>1768</v>
      </c>
      <c r="C237" s="4" t="s">
        <v>4319</v>
      </c>
      <c r="D237" s="4" t="s">
        <v>57</v>
      </c>
      <c r="E237" s="4" t="s">
        <v>4320</v>
      </c>
      <c r="F237" s="4">
        <v>36</v>
      </c>
      <c r="G237" s="4" t="s">
        <v>3928</v>
      </c>
    </row>
    <row r="238" spans="1:7" x14ac:dyDescent="0.2">
      <c r="A238" s="4" t="s">
        <v>2035</v>
      </c>
      <c r="B238" s="4" t="s">
        <v>1772</v>
      </c>
      <c r="C238" s="4" t="s">
        <v>4321</v>
      </c>
      <c r="D238" s="4" t="s">
        <v>58</v>
      </c>
      <c r="E238" s="4" t="s">
        <v>2478</v>
      </c>
      <c r="F238" s="4">
        <v>39</v>
      </c>
      <c r="G238" s="4" t="s">
        <v>3928</v>
      </c>
    </row>
    <row r="239" spans="1:7" x14ac:dyDescent="0.2">
      <c r="A239" s="4" t="s">
        <v>4322</v>
      </c>
      <c r="B239" s="4" t="s">
        <v>1772</v>
      </c>
      <c r="C239" s="4" t="s">
        <v>4323</v>
      </c>
      <c r="D239" s="4" t="s">
        <v>63</v>
      </c>
      <c r="E239" s="4" t="s">
        <v>3941</v>
      </c>
      <c r="F239" s="4">
        <v>45</v>
      </c>
      <c r="G239" s="4" t="s">
        <v>3930</v>
      </c>
    </row>
    <row r="240" spans="1:7" x14ac:dyDescent="0.2">
      <c r="A240" s="4" t="s">
        <v>4324</v>
      </c>
      <c r="B240" s="4" t="s">
        <v>1772</v>
      </c>
      <c r="C240" s="4" t="s">
        <v>4325</v>
      </c>
      <c r="D240" s="4" t="s">
        <v>62</v>
      </c>
      <c r="E240" s="4" t="s">
        <v>2581</v>
      </c>
      <c r="F240" s="4">
        <v>36</v>
      </c>
      <c r="G240" s="4" t="s">
        <v>3928</v>
      </c>
    </row>
    <row r="241" spans="1:7" x14ac:dyDescent="0.2">
      <c r="A241" s="4" t="s">
        <v>4326</v>
      </c>
      <c r="B241" s="4" t="s">
        <v>1776</v>
      </c>
      <c r="C241" s="4" t="s">
        <v>4327</v>
      </c>
      <c r="D241" s="4" t="s">
        <v>61</v>
      </c>
      <c r="E241" s="4" t="s">
        <v>3235</v>
      </c>
      <c r="F241" s="4">
        <v>80</v>
      </c>
      <c r="G241" s="4" t="s">
        <v>3930</v>
      </c>
    </row>
    <row r="242" spans="1:7" x14ac:dyDescent="0.2">
      <c r="A242" s="4" t="s">
        <v>2766</v>
      </c>
      <c r="B242" s="4" t="s">
        <v>1776</v>
      </c>
      <c r="C242" s="4" t="s">
        <v>4328</v>
      </c>
      <c r="D242" s="4" t="s">
        <v>57</v>
      </c>
      <c r="E242" s="4" t="s">
        <v>4001</v>
      </c>
      <c r="F242" s="4">
        <v>152</v>
      </c>
      <c r="G242" s="4" t="s">
        <v>3930</v>
      </c>
    </row>
    <row r="243" spans="1:7" x14ac:dyDescent="0.2">
      <c r="A243" s="4" t="s">
        <v>4329</v>
      </c>
      <c r="B243" s="4" t="s">
        <v>1776</v>
      </c>
      <c r="C243" s="4" t="s">
        <v>4330</v>
      </c>
      <c r="D243" s="4" t="s">
        <v>58</v>
      </c>
      <c r="E243" s="4" t="s">
        <v>4001</v>
      </c>
      <c r="F243" s="4">
        <v>208</v>
      </c>
      <c r="G243" s="4" t="s">
        <v>3928</v>
      </c>
    </row>
    <row r="244" spans="1:7" x14ac:dyDescent="0.2">
      <c r="A244" s="4" t="s">
        <v>4331</v>
      </c>
      <c r="B244" s="4" t="s">
        <v>1776</v>
      </c>
      <c r="C244" s="4" t="s">
        <v>4332</v>
      </c>
      <c r="D244" s="4" t="s">
        <v>65</v>
      </c>
      <c r="E244" s="4" t="s">
        <v>4275</v>
      </c>
      <c r="F244" s="4">
        <v>96</v>
      </c>
      <c r="G244" s="4" t="s">
        <v>3928</v>
      </c>
    </row>
    <row r="245" spans="1:7" x14ac:dyDescent="0.2">
      <c r="A245" s="4" t="s">
        <v>2726</v>
      </c>
      <c r="B245" s="4" t="s">
        <v>1779</v>
      </c>
      <c r="C245" s="4" t="s">
        <v>4333</v>
      </c>
      <c r="D245" s="4" t="s">
        <v>63</v>
      </c>
      <c r="E245" s="4" t="s">
        <v>4334</v>
      </c>
      <c r="F245" s="4">
        <v>112</v>
      </c>
      <c r="G245" s="4" t="s">
        <v>3928</v>
      </c>
    </row>
    <row r="246" spans="1:7" x14ac:dyDescent="0.2">
      <c r="A246" s="4" t="s">
        <v>2225</v>
      </c>
      <c r="B246" s="4" t="s">
        <v>1779</v>
      </c>
      <c r="C246" s="4" t="s">
        <v>4335</v>
      </c>
      <c r="D246" s="4" t="s">
        <v>65</v>
      </c>
      <c r="E246" s="4" t="s">
        <v>4336</v>
      </c>
      <c r="F246" s="4">
        <v>66</v>
      </c>
      <c r="G246" s="4" t="s">
        <v>3928</v>
      </c>
    </row>
    <row r="247" spans="1:7" x14ac:dyDescent="0.2">
      <c r="A247" s="4" t="s">
        <v>3624</v>
      </c>
      <c r="B247" s="4" t="s">
        <v>1779</v>
      </c>
      <c r="C247" s="4" t="s">
        <v>4337</v>
      </c>
      <c r="D247" s="4" t="s">
        <v>59</v>
      </c>
      <c r="E247" s="4" t="s">
        <v>3563</v>
      </c>
      <c r="F247" s="4">
        <v>97</v>
      </c>
      <c r="G247" s="4" t="s">
        <v>3928</v>
      </c>
    </row>
    <row r="248" spans="1:7" x14ac:dyDescent="0.2">
      <c r="A248" s="4" t="s">
        <v>3657</v>
      </c>
      <c r="B248" s="4" t="s">
        <v>1779</v>
      </c>
      <c r="C248" s="4" t="s">
        <v>4338</v>
      </c>
      <c r="D248" s="4" t="s">
        <v>58</v>
      </c>
      <c r="E248" s="4" t="s">
        <v>2082</v>
      </c>
      <c r="F248" s="4">
        <v>56</v>
      </c>
      <c r="G248" s="4" t="s">
        <v>3932</v>
      </c>
    </row>
    <row r="249" spans="1:7" x14ac:dyDescent="0.2">
      <c r="A249" s="4" t="s">
        <v>4339</v>
      </c>
      <c r="B249" s="4" t="s">
        <v>1783</v>
      </c>
      <c r="C249" s="4" t="s">
        <v>4340</v>
      </c>
      <c r="D249" s="4" t="s">
        <v>65</v>
      </c>
      <c r="E249" s="4" t="s">
        <v>2368</v>
      </c>
      <c r="F249" s="4">
        <v>5</v>
      </c>
      <c r="G249" s="4" t="s">
        <v>3928</v>
      </c>
    </row>
    <row r="250" spans="1:7" x14ac:dyDescent="0.2">
      <c r="A250" s="4" t="s">
        <v>2029</v>
      </c>
      <c r="B250" s="4" t="s">
        <v>1783</v>
      </c>
      <c r="C250" s="4" t="s">
        <v>4341</v>
      </c>
      <c r="D250" s="4" t="s">
        <v>64</v>
      </c>
      <c r="E250" s="4" t="s">
        <v>4342</v>
      </c>
      <c r="F250" s="4">
        <v>6</v>
      </c>
      <c r="G250" s="4" t="s">
        <v>3932</v>
      </c>
    </row>
    <row r="251" spans="1:7" x14ac:dyDescent="0.2">
      <c r="A251" s="4" t="s">
        <v>3104</v>
      </c>
      <c r="B251" s="4" t="s">
        <v>1783</v>
      </c>
      <c r="C251" s="4" t="s">
        <v>4343</v>
      </c>
      <c r="D251" s="4" t="s">
        <v>57</v>
      </c>
      <c r="E251" s="4" t="s">
        <v>3331</v>
      </c>
      <c r="F251" s="4">
        <v>4</v>
      </c>
      <c r="G251" s="4" t="s">
        <v>3930</v>
      </c>
    </row>
    <row r="252" spans="1:7" x14ac:dyDescent="0.2">
      <c r="A252" s="4" t="s">
        <v>4344</v>
      </c>
      <c r="B252" s="4" t="s">
        <v>1783</v>
      </c>
      <c r="C252" s="4" t="s">
        <v>4345</v>
      </c>
      <c r="D252" s="4" t="s">
        <v>58</v>
      </c>
      <c r="E252" s="4" t="s">
        <v>2228</v>
      </c>
      <c r="F252" s="4">
        <v>6</v>
      </c>
      <c r="G252" s="4" t="s">
        <v>3928</v>
      </c>
    </row>
    <row r="253" spans="1:7" x14ac:dyDescent="0.2">
      <c r="A253" s="4" t="s">
        <v>4346</v>
      </c>
      <c r="B253" s="4" t="s">
        <v>1783</v>
      </c>
      <c r="C253" s="4" t="s">
        <v>4347</v>
      </c>
      <c r="D253" s="4" t="s">
        <v>58</v>
      </c>
      <c r="E253" s="4" t="s">
        <v>4348</v>
      </c>
      <c r="F253" s="4">
        <v>7</v>
      </c>
      <c r="G253" s="4" t="s">
        <v>3928</v>
      </c>
    </row>
    <row r="254" spans="1:7" x14ac:dyDescent="0.2">
      <c r="A254" s="4" t="s">
        <v>4349</v>
      </c>
      <c r="B254" s="4" t="s">
        <v>1783</v>
      </c>
      <c r="C254" s="4" t="s">
        <v>4350</v>
      </c>
      <c r="D254" s="4" t="s">
        <v>56</v>
      </c>
      <c r="E254" s="4" t="s">
        <v>4032</v>
      </c>
      <c r="F254" s="4">
        <v>7</v>
      </c>
      <c r="G254" s="4" t="s">
        <v>3928</v>
      </c>
    </row>
    <row r="255" spans="1:7" x14ac:dyDescent="0.2">
      <c r="A255" s="4" t="s">
        <v>2624</v>
      </c>
      <c r="B255" s="4" t="s">
        <v>1787</v>
      </c>
      <c r="C255" s="4" t="s">
        <v>4351</v>
      </c>
      <c r="D255" s="4" t="s">
        <v>59</v>
      </c>
      <c r="E255" s="4" t="s">
        <v>2832</v>
      </c>
      <c r="F255" s="4">
        <v>63</v>
      </c>
      <c r="G255" s="4" t="s">
        <v>3928</v>
      </c>
    </row>
    <row r="256" spans="1:7" x14ac:dyDescent="0.2">
      <c r="A256" s="4" t="s">
        <v>3263</v>
      </c>
      <c r="B256" s="4" t="s">
        <v>1787</v>
      </c>
      <c r="C256" s="4" t="s">
        <v>4352</v>
      </c>
      <c r="D256" s="4" t="s">
        <v>62</v>
      </c>
      <c r="E256" s="4" t="s">
        <v>4353</v>
      </c>
      <c r="F256" s="4">
        <v>77</v>
      </c>
      <c r="G256" s="4" t="s">
        <v>3930</v>
      </c>
    </row>
    <row r="257" spans="1:7" x14ac:dyDescent="0.2">
      <c r="A257" s="4" t="s">
        <v>2151</v>
      </c>
      <c r="B257" s="4" t="s">
        <v>1787</v>
      </c>
      <c r="C257" s="4" t="s">
        <v>4354</v>
      </c>
      <c r="D257" s="4" t="s">
        <v>62</v>
      </c>
      <c r="E257" s="4" t="s">
        <v>2969</v>
      </c>
      <c r="F257" s="4">
        <v>56</v>
      </c>
      <c r="G257" s="4" t="s">
        <v>3930</v>
      </c>
    </row>
    <row r="258" spans="1:7" x14ac:dyDescent="0.2">
      <c r="A258" s="4" t="s">
        <v>4355</v>
      </c>
      <c r="B258" s="4" t="s">
        <v>1787</v>
      </c>
      <c r="C258" s="4" t="s">
        <v>4356</v>
      </c>
      <c r="D258" s="4" t="s">
        <v>59</v>
      </c>
      <c r="E258" s="4" t="s">
        <v>4357</v>
      </c>
      <c r="F258" s="4">
        <v>128</v>
      </c>
      <c r="G258" s="4" t="s">
        <v>3930</v>
      </c>
    </row>
    <row r="259" spans="1:7" x14ac:dyDescent="0.2">
      <c r="A259" s="4" t="s">
        <v>2795</v>
      </c>
      <c r="B259" s="4" t="s">
        <v>1787</v>
      </c>
      <c r="C259" s="4" t="s">
        <v>4358</v>
      </c>
      <c r="D259" s="4" t="s">
        <v>57</v>
      </c>
      <c r="E259" s="4" t="s">
        <v>4359</v>
      </c>
      <c r="F259" s="4">
        <v>122</v>
      </c>
      <c r="G259" s="4" t="s">
        <v>3928</v>
      </c>
    </row>
    <row r="260" spans="1:7" x14ac:dyDescent="0.2">
      <c r="A260" s="4" t="s">
        <v>4360</v>
      </c>
      <c r="B260" s="4" t="s">
        <v>1787</v>
      </c>
      <c r="C260" s="4" t="s">
        <v>4361</v>
      </c>
      <c r="D260" s="4" t="s">
        <v>61</v>
      </c>
      <c r="E260" s="4" t="s">
        <v>3235</v>
      </c>
      <c r="F260" s="4">
        <v>89</v>
      </c>
      <c r="G260" s="4" t="s">
        <v>3928</v>
      </c>
    </row>
    <row r="261" spans="1:7" x14ac:dyDescent="0.2">
      <c r="A261" s="4" t="s">
        <v>3837</v>
      </c>
      <c r="B261" s="4" t="s">
        <v>1790</v>
      </c>
      <c r="C261" s="4" t="s">
        <v>4362</v>
      </c>
      <c r="D261" s="4" t="s">
        <v>64</v>
      </c>
      <c r="E261" s="4" t="s">
        <v>4363</v>
      </c>
      <c r="F261" s="4">
        <v>25</v>
      </c>
      <c r="G261" s="4" t="s">
        <v>3930</v>
      </c>
    </row>
    <row r="262" spans="1:7" x14ac:dyDescent="0.2">
      <c r="A262" s="4" t="s">
        <v>2065</v>
      </c>
      <c r="B262" s="4" t="s">
        <v>1790</v>
      </c>
      <c r="C262" s="4" t="s">
        <v>4364</v>
      </c>
      <c r="D262" s="4" t="s">
        <v>61</v>
      </c>
      <c r="E262" s="4" t="s">
        <v>2038</v>
      </c>
      <c r="F262" s="4">
        <v>19</v>
      </c>
      <c r="G262" s="4" t="s">
        <v>3932</v>
      </c>
    </row>
    <row r="263" spans="1:7" x14ac:dyDescent="0.2">
      <c r="A263" s="4" t="s">
        <v>2891</v>
      </c>
      <c r="B263" s="4" t="s">
        <v>1790</v>
      </c>
      <c r="C263" s="4" t="s">
        <v>4365</v>
      </c>
      <c r="D263" s="4" t="s">
        <v>61</v>
      </c>
      <c r="E263" s="4" t="s">
        <v>2376</v>
      </c>
      <c r="F263" s="4">
        <v>21</v>
      </c>
      <c r="G263" s="4" t="s">
        <v>3928</v>
      </c>
    </row>
    <row r="264" spans="1:7" x14ac:dyDescent="0.2">
      <c r="A264" s="4" t="s">
        <v>3389</v>
      </c>
      <c r="B264" s="4" t="s">
        <v>1790</v>
      </c>
      <c r="C264" s="4" t="s">
        <v>4366</v>
      </c>
      <c r="D264" s="4" t="s">
        <v>56</v>
      </c>
      <c r="E264" s="4" t="s">
        <v>4367</v>
      </c>
      <c r="F264" s="4">
        <v>11</v>
      </c>
      <c r="G264" s="4" t="s">
        <v>3930</v>
      </c>
    </row>
    <row r="265" spans="1:7" x14ac:dyDescent="0.2">
      <c r="A265" s="4" t="s">
        <v>4368</v>
      </c>
      <c r="B265" s="4" t="s">
        <v>1794</v>
      </c>
      <c r="C265" s="4" t="s">
        <v>4369</v>
      </c>
      <c r="D265" s="4" t="s">
        <v>62</v>
      </c>
      <c r="E265" s="4" t="s">
        <v>4370</v>
      </c>
      <c r="F265" s="4">
        <v>68</v>
      </c>
      <c r="G265" s="4" t="s">
        <v>3928</v>
      </c>
    </row>
    <row r="266" spans="1:7" x14ac:dyDescent="0.2">
      <c r="A266" s="4" t="s">
        <v>3240</v>
      </c>
      <c r="B266" s="4" t="s">
        <v>1794</v>
      </c>
      <c r="C266" s="4" t="s">
        <v>4371</v>
      </c>
      <c r="D266" s="4" t="s">
        <v>61</v>
      </c>
      <c r="E266" s="4" t="s">
        <v>4372</v>
      </c>
      <c r="F266" s="4">
        <v>34</v>
      </c>
      <c r="G266" s="4" t="s">
        <v>3932</v>
      </c>
    </row>
    <row r="267" spans="1:7" x14ac:dyDescent="0.2">
      <c r="A267" s="4" t="s">
        <v>3345</v>
      </c>
      <c r="B267" s="4" t="s">
        <v>1794</v>
      </c>
      <c r="C267" s="4" t="s">
        <v>4373</v>
      </c>
      <c r="D267" s="4" t="s">
        <v>62</v>
      </c>
      <c r="E267" s="4" t="s">
        <v>4374</v>
      </c>
      <c r="F267" s="4">
        <v>72</v>
      </c>
      <c r="G267" s="4" t="s">
        <v>3930</v>
      </c>
    </row>
    <row r="268" spans="1:7" x14ac:dyDescent="0.2">
      <c r="A268" s="4" t="s">
        <v>2569</v>
      </c>
      <c r="B268" s="4" t="s">
        <v>1794</v>
      </c>
      <c r="C268" s="4" t="s">
        <v>4375</v>
      </c>
      <c r="D268" s="4" t="s">
        <v>57</v>
      </c>
      <c r="E268" s="4" t="s">
        <v>4376</v>
      </c>
      <c r="F268" s="4">
        <v>70</v>
      </c>
      <c r="G268" s="4" t="s">
        <v>3932</v>
      </c>
    </row>
    <row r="269" spans="1:7" x14ac:dyDescent="0.2">
      <c r="A269" s="4" t="s">
        <v>1989</v>
      </c>
      <c r="B269" s="4" t="s">
        <v>1798</v>
      </c>
      <c r="C269" s="4" t="s">
        <v>4377</v>
      </c>
      <c r="D269" s="4" t="s">
        <v>61</v>
      </c>
      <c r="E269" s="4" t="s">
        <v>2395</v>
      </c>
      <c r="F269" s="4">
        <v>204</v>
      </c>
      <c r="G269" s="4" t="s">
        <v>3928</v>
      </c>
    </row>
    <row r="270" spans="1:7" x14ac:dyDescent="0.2">
      <c r="A270" s="4" t="s">
        <v>2074</v>
      </c>
      <c r="B270" s="4" t="s">
        <v>1798</v>
      </c>
      <c r="C270" s="4" t="s">
        <v>4378</v>
      </c>
      <c r="D270" s="4" t="s">
        <v>57</v>
      </c>
      <c r="E270" s="4" t="s">
        <v>2044</v>
      </c>
      <c r="F270" s="4">
        <v>90</v>
      </c>
      <c r="G270" s="4" t="s">
        <v>3930</v>
      </c>
    </row>
    <row r="271" spans="1:7" x14ac:dyDescent="0.2">
      <c r="A271" s="4" t="s">
        <v>2131</v>
      </c>
      <c r="B271" s="4" t="s">
        <v>1798</v>
      </c>
      <c r="C271" s="4" t="s">
        <v>4379</v>
      </c>
      <c r="D271" s="4" t="s">
        <v>56</v>
      </c>
      <c r="E271" s="4" t="s">
        <v>3018</v>
      </c>
      <c r="F271" s="4">
        <v>135</v>
      </c>
      <c r="G271" s="4" t="s">
        <v>3932</v>
      </c>
    </row>
    <row r="272" spans="1:7" x14ac:dyDescent="0.2">
      <c r="A272" s="4" t="s">
        <v>2438</v>
      </c>
      <c r="B272" s="4" t="s">
        <v>1802</v>
      </c>
      <c r="C272" s="4" t="s">
        <v>4380</v>
      </c>
      <c r="D272" s="4" t="s">
        <v>61</v>
      </c>
      <c r="E272" s="4" t="s">
        <v>4381</v>
      </c>
      <c r="F272" s="4">
        <v>50</v>
      </c>
      <c r="G272" s="4" t="s">
        <v>3928</v>
      </c>
    </row>
    <row r="273" spans="1:7" x14ac:dyDescent="0.2">
      <c r="A273" s="4" t="s">
        <v>2707</v>
      </c>
      <c r="B273" s="4" t="s">
        <v>1802</v>
      </c>
      <c r="C273" s="4" t="s">
        <v>4382</v>
      </c>
      <c r="D273" s="4" t="s">
        <v>59</v>
      </c>
      <c r="E273" s="4" t="s">
        <v>4383</v>
      </c>
      <c r="F273" s="4">
        <v>56</v>
      </c>
      <c r="G273" s="4" t="s">
        <v>3932</v>
      </c>
    </row>
    <row r="274" spans="1:7" x14ac:dyDescent="0.2">
      <c r="A274" s="4" t="s">
        <v>2024</v>
      </c>
      <c r="B274" s="4" t="s">
        <v>1805</v>
      </c>
      <c r="C274" s="4" t="s">
        <v>4384</v>
      </c>
      <c r="D274" s="4" t="s">
        <v>64</v>
      </c>
      <c r="E274" s="4" t="s">
        <v>2981</v>
      </c>
      <c r="F274" s="4">
        <v>32</v>
      </c>
      <c r="G274" s="4" t="s">
        <v>3932</v>
      </c>
    </row>
    <row r="275" spans="1:7" x14ac:dyDescent="0.2">
      <c r="A275" s="4" t="s">
        <v>4385</v>
      </c>
      <c r="B275" s="4" t="s">
        <v>1805</v>
      </c>
      <c r="C275" s="4" t="s">
        <v>4386</v>
      </c>
      <c r="D275" s="4" t="s">
        <v>62</v>
      </c>
      <c r="E275" s="4" t="s">
        <v>4387</v>
      </c>
      <c r="F275" s="4">
        <v>80</v>
      </c>
      <c r="G275" s="4" t="s">
        <v>3932</v>
      </c>
    </row>
    <row r="276" spans="1:7" x14ac:dyDescent="0.2">
      <c r="A276" s="4" t="s">
        <v>4388</v>
      </c>
      <c r="B276" s="4" t="s">
        <v>1805</v>
      </c>
      <c r="C276" s="4" t="s">
        <v>4389</v>
      </c>
      <c r="D276" s="4" t="s">
        <v>65</v>
      </c>
      <c r="E276" s="4" t="s">
        <v>3697</v>
      </c>
      <c r="F276" s="4">
        <v>58</v>
      </c>
      <c r="G276" s="4" t="s">
        <v>3932</v>
      </c>
    </row>
    <row r="277" spans="1:7" x14ac:dyDescent="0.2">
      <c r="A277" s="4" t="s">
        <v>3532</v>
      </c>
      <c r="B277" s="4" t="s">
        <v>1805</v>
      </c>
      <c r="C277" s="4" t="s">
        <v>4390</v>
      </c>
      <c r="D277" s="4" t="s">
        <v>57</v>
      </c>
      <c r="E277" s="4" t="s">
        <v>4391</v>
      </c>
      <c r="F277" s="4">
        <v>44</v>
      </c>
      <c r="G277" s="4" t="s">
        <v>3928</v>
      </c>
    </row>
    <row r="278" spans="1:7" x14ac:dyDescent="0.2">
      <c r="A278" s="4" t="s">
        <v>4392</v>
      </c>
      <c r="B278" s="4" t="s">
        <v>1805</v>
      </c>
      <c r="C278" s="4" t="s">
        <v>4393</v>
      </c>
      <c r="D278" s="4" t="s">
        <v>60</v>
      </c>
      <c r="E278" s="4" t="s">
        <v>2385</v>
      </c>
      <c r="F278" s="4">
        <v>50</v>
      </c>
      <c r="G278" s="4" t="s">
        <v>3928</v>
      </c>
    </row>
    <row r="279" spans="1:7" x14ac:dyDescent="0.2">
      <c r="A279" s="4" t="s">
        <v>3787</v>
      </c>
      <c r="B279" s="4" t="s">
        <v>1808</v>
      </c>
      <c r="C279" s="4" t="s">
        <v>4394</v>
      </c>
      <c r="D279" s="4" t="s">
        <v>62</v>
      </c>
      <c r="E279" s="4" t="s">
        <v>2752</v>
      </c>
      <c r="F279" s="4">
        <v>61</v>
      </c>
      <c r="G279" s="4" t="s">
        <v>3932</v>
      </c>
    </row>
    <row r="280" spans="1:7" x14ac:dyDescent="0.2">
      <c r="A280" s="4" t="s">
        <v>2654</v>
      </c>
      <c r="B280" s="4" t="s">
        <v>1808</v>
      </c>
      <c r="C280" s="4" t="s">
        <v>4395</v>
      </c>
      <c r="D280" s="4" t="s">
        <v>56</v>
      </c>
      <c r="E280" s="4" t="s">
        <v>4396</v>
      </c>
      <c r="F280" s="4">
        <v>71</v>
      </c>
      <c r="G280" s="4" t="s">
        <v>3930</v>
      </c>
    </row>
    <row r="281" spans="1:7" x14ac:dyDescent="0.2">
      <c r="A281" s="4" t="s">
        <v>4397</v>
      </c>
      <c r="B281" s="4" t="s">
        <v>1812</v>
      </c>
      <c r="C281" s="4" t="s">
        <v>4398</v>
      </c>
      <c r="D281" s="4" t="s">
        <v>61</v>
      </c>
      <c r="E281" s="4" t="s">
        <v>4399</v>
      </c>
      <c r="F281" s="4">
        <v>12</v>
      </c>
      <c r="G281" s="4" t="s">
        <v>3930</v>
      </c>
    </row>
    <row r="282" spans="1:7" x14ac:dyDescent="0.2">
      <c r="A282" s="4" t="s">
        <v>4400</v>
      </c>
      <c r="B282" s="4" t="s">
        <v>1812</v>
      </c>
      <c r="C282" s="4" t="s">
        <v>4401</v>
      </c>
      <c r="D282" s="4" t="s">
        <v>65</v>
      </c>
      <c r="E282" s="4" t="s">
        <v>4402</v>
      </c>
      <c r="F282" s="4">
        <v>17</v>
      </c>
      <c r="G282" s="4" t="s">
        <v>3932</v>
      </c>
    </row>
    <row r="283" spans="1:7" x14ac:dyDescent="0.2">
      <c r="A283" s="4" t="s">
        <v>2480</v>
      </c>
      <c r="B283" s="4" t="s">
        <v>1812</v>
      </c>
      <c r="C283" s="4" t="s">
        <v>4403</v>
      </c>
      <c r="D283" s="4" t="s">
        <v>64</v>
      </c>
      <c r="E283" s="4" t="s">
        <v>4404</v>
      </c>
      <c r="F283" s="4">
        <v>12</v>
      </c>
      <c r="G283" s="4" t="s">
        <v>3928</v>
      </c>
    </row>
    <row r="284" spans="1:7" x14ac:dyDescent="0.2">
      <c r="A284" s="4" t="s">
        <v>2326</v>
      </c>
      <c r="B284" s="4" t="s">
        <v>1812</v>
      </c>
      <c r="C284" s="4" t="s">
        <v>4405</v>
      </c>
      <c r="D284" s="4" t="s">
        <v>59</v>
      </c>
      <c r="E284" s="4" t="s">
        <v>3601</v>
      </c>
      <c r="F284" s="4">
        <v>18</v>
      </c>
      <c r="G284" s="4" t="s">
        <v>3930</v>
      </c>
    </row>
    <row r="285" spans="1:7" x14ac:dyDescent="0.2">
      <c r="A285" s="4" t="s">
        <v>3383</v>
      </c>
      <c r="B285" s="4" t="s">
        <v>1812</v>
      </c>
      <c r="C285" s="4" t="s">
        <v>4406</v>
      </c>
      <c r="D285" s="4" t="s">
        <v>65</v>
      </c>
      <c r="E285" s="4" t="s">
        <v>4407</v>
      </c>
      <c r="F285" s="4">
        <v>17</v>
      </c>
      <c r="G285" s="4" t="s">
        <v>3930</v>
      </c>
    </row>
    <row r="286" spans="1:7" x14ac:dyDescent="0.2">
      <c r="A286" s="4" t="s">
        <v>4408</v>
      </c>
      <c r="B286" s="4" t="s">
        <v>1812</v>
      </c>
      <c r="C286" s="4" t="s">
        <v>4409</v>
      </c>
      <c r="D286" s="4" t="s">
        <v>59</v>
      </c>
      <c r="E286" s="4" t="s">
        <v>3471</v>
      </c>
      <c r="F286" s="4">
        <v>8</v>
      </c>
      <c r="G286" s="4" t="s">
        <v>3928</v>
      </c>
    </row>
    <row r="287" spans="1:7" x14ac:dyDescent="0.2">
      <c r="A287" s="4" t="s">
        <v>2180</v>
      </c>
      <c r="B287" s="4" t="s">
        <v>1816</v>
      </c>
      <c r="C287" s="4" t="s">
        <v>4410</v>
      </c>
      <c r="D287" s="4" t="s">
        <v>65</v>
      </c>
      <c r="E287" s="4" t="s">
        <v>2395</v>
      </c>
      <c r="F287" s="4">
        <v>37</v>
      </c>
      <c r="G287" s="4" t="s">
        <v>3930</v>
      </c>
    </row>
    <row r="288" spans="1:7" x14ac:dyDescent="0.2">
      <c r="A288" s="4" t="s">
        <v>3011</v>
      </c>
      <c r="B288" s="4" t="s">
        <v>1816</v>
      </c>
      <c r="C288" s="4" t="s">
        <v>4411</v>
      </c>
      <c r="D288" s="4" t="s">
        <v>63</v>
      </c>
      <c r="E288" s="4" t="s">
        <v>4136</v>
      </c>
      <c r="F288" s="4">
        <v>16</v>
      </c>
      <c r="G288" s="4" t="s">
        <v>3932</v>
      </c>
    </row>
    <row r="289" spans="1:7" x14ac:dyDescent="0.2">
      <c r="A289" s="4" t="s">
        <v>4412</v>
      </c>
      <c r="B289" s="4" t="s">
        <v>1816</v>
      </c>
      <c r="C289" s="4" t="s">
        <v>4413</v>
      </c>
      <c r="D289" s="4" t="s">
        <v>61</v>
      </c>
      <c r="E289" s="4" t="s">
        <v>3697</v>
      </c>
      <c r="F289" s="4">
        <v>34</v>
      </c>
      <c r="G289" s="4" t="s">
        <v>3930</v>
      </c>
    </row>
    <row r="290" spans="1:7" x14ac:dyDescent="0.2">
      <c r="A290" s="4" t="s">
        <v>4414</v>
      </c>
      <c r="B290" s="4" t="s">
        <v>1820</v>
      </c>
      <c r="C290" s="4" t="s">
        <v>4415</v>
      </c>
      <c r="D290" s="4" t="s">
        <v>62</v>
      </c>
      <c r="E290" s="4" t="s">
        <v>3308</v>
      </c>
      <c r="F290" s="4">
        <v>8</v>
      </c>
      <c r="G290" s="4" t="s">
        <v>3930</v>
      </c>
    </row>
    <row r="291" spans="1:7" x14ac:dyDescent="0.2">
      <c r="A291" s="4" t="s">
        <v>3665</v>
      </c>
      <c r="B291" s="4" t="s">
        <v>1820</v>
      </c>
      <c r="C291" s="4" t="s">
        <v>4416</v>
      </c>
      <c r="D291" s="4" t="s">
        <v>62</v>
      </c>
      <c r="E291" s="4" t="s">
        <v>4417</v>
      </c>
      <c r="F291" s="4">
        <v>13</v>
      </c>
      <c r="G291" s="4" t="s">
        <v>3930</v>
      </c>
    </row>
    <row r="292" spans="1:7" x14ac:dyDescent="0.2">
      <c r="A292" s="4" t="s">
        <v>4418</v>
      </c>
      <c r="B292" s="4" t="s">
        <v>1820</v>
      </c>
      <c r="C292" s="4" t="s">
        <v>4419</v>
      </c>
      <c r="D292" s="4" t="s">
        <v>64</v>
      </c>
      <c r="E292" s="4" t="s">
        <v>4420</v>
      </c>
      <c r="F292" s="4">
        <v>13</v>
      </c>
      <c r="G292" s="4" t="s">
        <v>3932</v>
      </c>
    </row>
    <row r="293" spans="1:7" x14ac:dyDescent="0.2">
      <c r="A293" s="4" t="s">
        <v>4421</v>
      </c>
      <c r="B293" s="4" t="s">
        <v>1820</v>
      </c>
      <c r="C293" s="4" t="s">
        <v>4422</v>
      </c>
      <c r="D293" s="4" t="s">
        <v>59</v>
      </c>
      <c r="E293" s="4" t="s">
        <v>2292</v>
      </c>
      <c r="F293" s="4">
        <v>12</v>
      </c>
      <c r="G293" s="4" t="s">
        <v>3928</v>
      </c>
    </row>
    <row r="294" spans="1:7" x14ac:dyDescent="0.2">
      <c r="A294" s="4" t="s">
        <v>4423</v>
      </c>
      <c r="B294" s="4" t="s">
        <v>1820</v>
      </c>
      <c r="C294" s="4" t="s">
        <v>4424</v>
      </c>
      <c r="D294" s="4" t="s">
        <v>61</v>
      </c>
      <c r="E294" s="4" t="s">
        <v>4425</v>
      </c>
      <c r="F294" s="4">
        <v>12</v>
      </c>
      <c r="G294" s="4" t="s">
        <v>3928</v>
      </c>
    </row>
    <row r="295" spans="1:7" x14ac:dyDescent="0.2">
      <c r="A295" s="4" t="s">
        <v>2289</v>
      </c>
      <c r="B295" s="4" t="s">
        <v>1820</v>
      </c>
      <c r="C295" s="4" t="s">
        <v>4426</v>
      </c>
      <c r="D295" s="4" t="s">
        <v>65</v>
      </c>
      <c r="E295" s="4" t="s">
        <v>2243</v>
      </c>
      <c r="F295" s="4">
        <v>7</v>
      </c>
      <c r="G295" s="4" t="s">
        <v>3928</v>
      </c>
    </row>
    <row r="296" spans="1:7" x14ac:dyDescent="0.2">
      <c r="A296" s="4" t="s">
        <v>4427</v>
      </c>
      <c r="B296" s="4" t="s">
        <v>1824</v>
      </c>
      <c r="C296" s="4" t="s">
        <v>4428</v>
      </c>
      <c r="D296" s="4" t="s">
        <v>63</v>
      </c>
      <c r="E296" s="4" t="s">
        <v>4429</v>
      </c>
      <c r="F296" s="4">
        <v>15</v>
      </c>
      <c r="G296" s="4" t="s">
        <v>3928</v>
      </c>
    </row>
    <row r="297" spans="1:7" x14ac:dyDescent="0.2">
      <c r="A297" s="4" t="s">
        <v>2573</v>
      </c>
      <c r="B297" s="4" t="s">
        <v>1824</v>
      </c>
      <c r="C297" s="4" t="s">
        <v>4430</v>
      </c>
      <c r="D297" s="4" t="s">
        <v>59</v>
      </c>
      <c r="E297" s="4" t="s">
        <v>2243</v>
      </c>
      <c r="F297" s="4">
        <v>24</v>
      </c>
      <c r="G297" s="4" t="s">
        <v>3928</v>
      </c>
    </row>
    <row r="298" spans="1:7" x14ac:dyDescent="0.2">
      <c r="A298" s="4" t="s">
        <v>4431</v>
      </c>
      <c r="B298" s="4" t="s">
        <v>1824</v>
      </c>
      <c r="C298" s="4" t="s">
        <v>4432</v>
      </c>
      <c r="D298" s="4" t="s">
        <v>58</v>
      </c>
      <c r="E298" s="4" t="s">
        <v>4279</v>
      </c>
      <c r="F298" s="4">
        <v>18</v>
      </c>
      <c r="G298" s="4" t="s">
        <v>3928</v>
      </c>
    </row>
    <row r="299" spans="1:7" x14ac:dyDescent="0.2">
      <c r="A299" s="4" t="s">
        <v>3147</v>
      </c>
      <c r="B299" s="4" t="s">
        <v>1828</v>
      </c>
      <c r="C299" s="4" t="s">
        <v>4433</v>
      </c>
      <c r="D299" s="4" t="s">
        <v>58</v>
      </c>
      <c r="E299" s="4" t="s">
        <v>3576</v>
      </c>
      <c r="F299" s="4">
        <v>12</v>
      </c>
      <c r="G299" s="4" t="s">
        <v>3928</v>
      </c>
    </row>
    <row r="300" spans="1:7" x14ac:dyDescent="0.2">
      <c r="A300" s="4" t="s">
        <v>2426</v>
      </c>
      <c r="B300" s="4" t="s">
        <v>1828</v>
      </c>
      <c r="C300" s="4" t="s">
        <v>4434</v>
      </c>
      <c r="D300" s="4" t="s">
        <v>59</v>
      </c>
      <c r="E300" s="4" t="s">
        <v>3572</v>
      </c>
      <c r="F300" s="4">
        <v>8</v>
      </c>
      <c r="G300" s="4" t="s">
        <v>3932</v>
      </c>
    </row>
    <row r="301" spans="1:7" x14ac:dyDescent="0.2">
      <c r="A301" s="4" t="s">
        <v>2943</v>
      </c>
      <c r="B301" s="4" t="s">
        <v>1828</v>
      </c>
      <c r="C301" s="4" t="s">
        <v>4435</v>
      </c>
      <c r="D301" s="4" t="s">
        <v>57</v>
      </c>
      <c r="E301" s="4" t="s">
        <v>3050</v>
      </c>
      <c r="F301" s="4">
        <v>15</v>
      </c>
      <c r="G301" s="4" t="s">
        <v>3932</v>
      </c>
    </row>
    <row r="302" spans="1:7" x14ac:dyDescent="0.2">
      <c r="A302" s="4" t="s">
        <v>2089</v>
      </c>
      <c r="B302" s="4" t="s">
        <v>1832</v>
      </c>
      <c r="C302" s="4" t="s">
        <v>4436</v>
      </c>
      <c r="D302" s="4" t="s">
        <v>58</v>
      </c>
      <c r="E302" s="4" t="s">
        <v>2605</v>
      </c>
      <c r="F302" s="4">
        <v>200</v>
      </c>
      <c r="G302" s="4" t="s">
        <v>3932</v>
      </c>
    </row>
    <row r="303" spans="1:7" x14ac:dyDescent="0.2">
      <c r="A303" s="4" t="s">
        <v>4437</v>
      </c>
      <c r="B303" s="4" t="s">
        <v>1836</v>
      </c>
      <c r="C303" s="4" t="s">
        <v>4438</v>
      </c>
      <c r="D303" s="4" t="s">
        <v>57</v>
      </c>
      <c r="E303" s="4" t="s">
        <v>3825</v>
      </c>
      <c r="F303" s="4">
        <v>13</v>
      </c>
      <c r="G303" s="4" t="s">
        <v>3930</v>
      </c>
    </row>
    <row r="304" spans="1:7" x14ac:dyDescent="0.2">
      <c r="A304" s="4" t="s">
        <v>2578</v>
      </c>
      <c r="B304" s="4" t="s">
        <v>1836</v>
      </c>
      <c r="C304" s="4" t="s">
        <v>4439</v>
      </c>
      <c r="D304" s="4" t="s">
        <v>63</v>
      </c>
      <c r="E304" s="4" t="s">
        <v>2118</v>
      </c>
      <c r="F304" s="4">
        <v>6</v>
      </c>
      <c r="G304" s="4" t="s">
        <v>3932</v>
      </c>
    </row>
    <row r="305" spans="1:7" x14ac:dyDescent="0.2">
      <c r="A305" s="4" t="s">
        <v>4440</v>
      </c>
      <c r="B305" s="4" t="s">
        <v>1836</v>
      </c>
      <c r="C305" s="4" t="s">
        <v>4441</v>
      </c>
      <c r="D305" s="4" t="s">
        <v>57</v>
      </c>
      <c r="E305" s="4" t="s">
        <v>2498</v>
      </c>
      <c r="F305" s="4">
        <v>13</v>
      </c>
      <c r="G305" s="4" t="s">
        <v>3928</v>
      </c>
    </row>
    <row r="306" spans="1:7" x14ac:dyDescent="0.2">
      <c r="A306" s="4" t="s">
        <v>1984</v>
      </c>
      <c r="B306" s="4" t="s">
        <v>1836</v>
      </c>
      <c r="C306" s="4" t="s">
        <v>4442</v>
      </c>
      <c r="D306" s="4" t="s">
        <v>65</v>
      </c>
      <c r="E306" s="4" t="s">
        <v>4443</v>
      </c>
      <c r="F306" s="4">
        <v>14</v>
      </c>
      <c r="G306" s="4" t="s">
        <v>3928</v>
      </c>
    </row>
    <row r="307" spans="1:7" x14ac:dyDescent="0.2">
      <c r="A307" s="4" t="s">
        <v>2939</v>
      </c>
      <c r="B307" s="4" t="s">
        <v>1840</v>
      </c>
      <c r="C307" s="4" t="s">
        <v>4444</v>
      </c>
      <c r="D307" s="4" t="s">
        <v>61</v>
      </c>
      <c r="E307" s="4" t="s">
        <v>4445</v>
      </c>
      <c r="F307" s="4">
        <v>190</v>
      </c>
      <c r="G307" s="4" t="s">
        <v>3932</v>
      </c>
    </row>
    <row r="308" spans="1:7" x14ac:dyDescent="0.2">
      <c r="A308" s="4" t="s">
        <v>4446</v>
      </c>
      <c r="B308" s="4" t="s">
        <v>1844</v>
      </c>
      <c r="C308" s="4" t="s">
        <v>4447</v>
      </c>
      <c r="D308" s="4" t="s">
        <v>61</v>
      </c>
      <c r="E308" s="4" t="s">
        <v>2049</v>
      </c>
      <c r="F308" s="4">
        <v>139</v>
      </c>
      <c r="G308" s="4" t="s">
        <v>3928</v>
      </c>
    </row>
    <row r="309" spans="1:7" x14ac:dyDescent="0.2">
      <c r="A309" s="4" t="s">
        <v>3225</v>
      </c>
      <c r="B309" s="4" t="s">
        <v>1844</v>
      </c>
      <c r="C309" s="4" t="s">
        <v>4448</v>
      </c>
      <c r="D309" s="4" t="s">
        <v>61</v>
      </c>
      <c r="E309" s="4" t="s">
        <v>4449</v>
      </c>
      <c r="F309" s="4">
        <v>159</v>
      </c>
      <c r="G309" s="4" t="s">
        <v>3930</v>
      </c>
    </row>
    <row r="310" spans="1:7" x14ac:dyDescent="0.2">
      <c r="A310" s="4" t="s">
        <v>3394</v>
      </c>
      <c r="B310" s="4" t="s">
        <v>1844</v>
      </c>
      <c r="C310" s="4" t="s">
        <v>4450</v>
      </c>
      <c r="D310" s="4" t="s">
        <v>64</v>
      </c>
      <c r="E310" s="4" t="s">
        <v>2894</v>
      </c>
      <c r="F310" s="4">
        <v>85</v>
      </c>
      <c r="G310" s="4" t="s">
        <v>3932</v>
      </c>
    </row>
    <row r="311" spans="1:7" x14ac:dyDescent="0.2">
      <c r="A311" s="4" t="s">
        <v>3716</v>
      </c>
      <c r="B311" s="4" t="s">
        <v>1844</v>
      </c>
      <c r="C311" s="4" t="s">
        <v>4451</v>
      </c>
      <c r="D311" s="4" t="s">
        <v>56</v>
      </c>
      <c r="E311" s="4" t="s">
        <v>2082</v>
      </c>
      <c r="F311" s="4">
        <v>126</v>
      </c>
      <c r="G311" s="4" t="s">
        <v>3932</v>
      </c>
    </row>
    <row r="312" spans="1:7" x14ac:dyDescent="0.2">
      <c r="A312" s="4" t="s">
        <v>2298</v>
      </c>
      <c r="B312" s="4" t="s">
        <v>1848</v>
      </c>
      <c r="C312" s="4" t="s">
        <v>4452</v>
      </c>
      <c r="D312" s="4" t="s">
        <v>57</v>
      </c>
      <c r="E312" s="4" t="s">
        <v>4453</v>
      </c>
      <c r="F312" s="4">
        <v>77</v>
      </c>
      <c r="G312" s="4" t="s">
        <v>3930</v>
      </c>
    </row>
    <row r="313" spans="1:7" x14ac:dyDescent="0.2">
      <c r="A313" s="4" t="s">
        <v>3297</v>
      </c>
      <c r="B313" s="4" t="s">
        <v>1848</v>
      </c>
      <c r="C313" s="4" t="s">
        <v>4454</v>
      </c>
      <c r="D313" s="4" t="s">
        <v>56</v>
      </c>
      <c r="E313" s="4" t="s">
        <v>2109</v>
      </c>
      <c r="F313" s="4">
        <v>55</v>
      </c>
      <c r="G313" s="4" t="s">
        <v>3928</v>
      </c>
    </row>
    <row r="314" spans="1:7" x14ac:dyDescent="0.2">
      <c r="A314" s="4" t="s">
        <v>1995</v>
      </c>
      <c r="B314" s="4" t="s">
        <v>1848</v>
      </c>
      <c r="C314" s="4" t="s">
        <v>4455</v>
      </c>
      <c r="D314" s="4" t="s">
        <v>64</v>
      </c>
      <c r="E314" s="4" t="s">
        <v>4456</v>
      </c>
      <c r="F314" s="4">
        <v>74</v>
      </c>
      <c r="G314" s="4" t="s">
        <v>3928</v>
      </c>
    </row>
    <row r="315" spans="1:7" x14ac:dyDescent="0.2">
      <c r="A315" s="4" t="s">
        <v>2733</v>
      </c>
      <c r="B315" s="4" t="s">
        <v>1848</v>
      </c>
      <c r="C315" s="4" t="s">
        <v>4457</v>
      </c>
      <c r="D315" s="4" t="s">
        <v>60</v>
      </c>
      <c r="E315" s="4" t="s">
        <v>4218</v>
      </c>
      <c r="F315" s="4">
        <v>49</v>
      </c>
      <c r="G315" s="4" t="s">
        <v>3928</v>
      </c>
    </row>
    <row r="316" spans="1:7" x14ac:dyDescent="0.2">
      <c r="A316" s="4" t="s">
        <v>3001</v>
      </c>
      <c r="B316" s="4" t="s">
        <v>1852</v>
      </c>
      <c r="C316" s="4" t="s">
        <v>4458</v>
      </c>
      <c r="D316" s="4" t="s">
        <v>57</v>
      </c>
      <c r="E316" s="4" t="s">
        <v>2049</v>
      </c>
      <c r="F316" s="4">
        <v>13</v>
      </c>
      <c r="G316" s="4" t="s">
        <v>3932</v>
      </c>
    </row>
    <row r="317" spans="1:7" x14ac:dyDescent="0.2">
      <c r="A317" s="4" t="s">
        <v>2698</v>
      </c>
      <c r="B317" s="4" t="s">
        <v>1852</v>
      </c>
      <c r="C317" s="4" t="s">
        <v>4459</v>
      </c>
      <c r="D317" s="4" t="s">
        <v>60</v>
      </c>
      <c r="E317" s="4" t="s">
        <v>2660</v>
      </c>
      <c r="F317" s="4">
        <v>15</v>
      </c>
      <c r="G317" s="4" t="s">
        <v>3932</v>
      </c>
    </row>
    <row r="318" spans="1:7" x14ac:dyDescent="0.2">
      <c r="A318" s="4" t="s">
        <v>3171</v>
      </c>
      <c r="B318" s="4" t="s">
        <v>1852</v>
      </c>
      <c r="C318" s="4" t="s">
        <v>4460</v>
      </c>
      <c r="D318" s="4" t="s">
        <v>62</v>
      </c>
      <c r="E318" s="4" t="s">
        <v>2097</v>
      </c>
      <c r="F318" s="4">
        <v>36</v>
      </c>
      <c r="G318" s="4" t="s">
        <v>3932</v>
      </c>
    </row>
    <row r="319" spans="1:7" x14ac:dyDescent="0.2">
      <c r="A319" s="4" t="s">
        <v>2992</v>
      </c>
      <c r="B319" s="4" t="s">
        <v>1852</v>
      </c>
      <c r="C319" s="4" t="s">
        <v>4461</v>
      </c>
      <c r="D319" s="4" t="s">
        <v>62</v>
      </c>
      <c r="E319" s="4" t="s">
        <v>2773</v>
      </c>
      <c r="F319" s="4">
        <v>26</v>
      </c>
      <c r="G319" s="4" t="s">
        <v>3932</v>
      </c>
    </row>
    <row r="320" spans="1:7" x14ac:dyDescent="0.2">
      <c r="A320" s="4" t="s">
        <v>2849</v>
      </c>
      <c r="B320" s="4" t="s">
        <v>1855</v>
      </c>
      <c r="C320" s="4" t="s">
        <v>4462</v>
      </c>
      <c r="D320" s="4" t="s">
        <v>62</v>
      </c>
      <c r="E320" s="4" t="s">
        <v>3955</v>
      </c>
      <c r="F320" s="4">
        <v>37</v>
      </c>
      <c r="G320" s="4" t="s">
        <v>3930</v>
      </c>
    </row>
    <row r="321" spans="1:7" x14ac:dyDescent="0.2">
      <c r="A321" s="4" t="s">
        <v>1962</v>
      </c>
      <c r="B321" s="4" t="s">
        <v>1855</v>
      </c>
      <c r="C321" s="4" t="s">
        <v>4463</v>
      </c>
      <c r="D321" s="4" t="s">
        <v>64</v>
      </c>
      <c r="E321" s="4" t="s">
        <v>4464</v>
      </c>
      <c r="F321" s="4">
        <v>23</v>
      </c>
      <c r="G321" s="4" t="s">
        <v>3928</v>
      </c>
    </row>
    <row r="322" spans="1:7" x14ac:dyDescent="0.2">
      <c r="A322" s="4" t="s">
        <v>4465</v>
      </c>
      <c r="B322" s="4" t="s">
        <v>1858</v>
      </c>
      <c r="C322" s="4" t="s">
        <v>4466</v>
      </c>
      <c r="D322" s="4" t="s">
        <v>60</v>
      </c>
      <c r="E322" s="4" t="s">
        <v>3115</v>
      </c>
      <c r="F322" s="4">
        <v>75</v>
      </c>
      <c r="G322" s="4" t="s">
        <v>3928</v>
      </c>
    </row>
    <row r="323" spans="1:7" x14ac:dyDescent="0.2">
      <c r="A323" s="4" t="s">
        <v>4467</v>
      </c>
      <c r="B323" s="4" t="s">
        <v>1858</v>
      </c>
      <c r="C323" s="4" t="s">
        <v>4468</v>
      </c>
      <c r="D323" s="4" t="s">
        <v>65</v>
      </c>
      <c r="E323" s="4" t="s">
        <v>4353</v>
      </c>
      <c r="F323" s="4">
        <v>93</v>
      </c>
      <c r="G323" s="4" t="s">
        <v>3930</v>
      </c>
    </row>
    <row r="324" spans="1:7" x14ac:dyDescent="0.2">
      <c r="A324" s="4" t="s">
        <v>2500</v>
      </c>
      <c r="B324" s="4" t="s">
        <v>1858</v>
      </c>
      <c r="C324" s="4" t="s">
        <v>4469</v>
      </c>
      <c r="D324" s="4" t="s">
        <v>62</v>
      </c>
      <c r="E324" s="4" t="s">
        <v>3622</v>
      </c>
      <c r="F324" s="4">
        <v>87</v>
      </c>
      <c r="G324" s="4" t="s">
        <v>3930</v>
      </c>
    </row>
    <row r="325" spans="1:7" x14ac:dyDescent="0.2">
      <c r="A325" s="4" t="s">
        <v>4470</v>
      </c>
      <c r="B325" s="4" t="s">
        <v>1858</v>
      </c>
      <c r="C325" s="4" t="s">
        <v>4471</v>
      </c>
      <c r="D325" s="4" t="s">
        <v>63</v>
      </c>
      <c r="E325" s="4" t="s">
        <v>3194</v>
      </c>
      <c r="F325" s="4">
        <v>56</v>
      </c>
      <c r="G325" s="4" t="s">
        <v>3932</v>
      </c>
    </row>
    <row r="326" spans="1:7" x14ac:dyDescent="0.2">
      <c r="A326" s="4" t="s">
        <v>2457</v>
      </c>
      <c r="B326" s="4" t="s">
        <v>1858</v>
      </c>
      <c r="C326" s="4" t="s">
        <v>4472</v>
      </c>
      <c r="D326" s="4" t="s">
        <v>56</v>
      </c>
      <c r="E326" s="4" t="s">
        <v>3401</v>
      </c>
      <c r="F326" s="4">
        <v>106</v>
      </c>
      <c r="G326" s="4" t="s">
        <v>3928</v>
      </c>
    </row>
    <row r="327" spans="1:7" x14ac:dyDescent="0.2">
      <c r="A327" s="4" t="s">
        <v>4473</v>
      </c>
      <c r="B327" s="4" t="s">
        <v>1861</v>
      </c>
      <c r="C327" s="4" t="s">
        <v>4474</v>
      </c>
      <c r="D327" s="4" t="s">
        <v>58</v>
      </c>
      <c r="E327" s="4" t="s">
        <v>3401</v>
      </c>
      <c r="F327" s="4">
        <v>12</v>
      </c>
      <c r="G327" s="4" t="s">
        <v>3930</v>
      </c>
    </row>
    <row r="328" spans="1:7" x14ac:dyDescent="0.2">
      <c r="A328" s="4" t="s">
        <v>2421</v>
      </c>
      <c r="B328" s="4" t="s">
        <v>1861</v>
      </c>
      <c r="C328" s="4" t="s">
        <v>4475</v>
      </c>
      <c r="D328" s="4" t="s">
        <v>64</v>
      </c>
      <c r="E328" s="4" t="s">
        <v>4476</v>
      </c>
      <c r="F328" s="4">
        <v>19</v>
      </c>
      <c r="G328" s="4" t="s">
        <v>3928</v>
      </c>
    </row>
    <row r="329" spans="1:7" x14ac:dyDescent="0.2">
      <c r="A329" s="4" t="s">
        <v>2837</v>
      </c>
      <c r="B329" s="4" t="s">
        <v>1861</v>
      </c>
      <c r="C329" s="4" t="s">
        <v>4477</v>
      </c>
      <c r="D329" s="4" t="s">
        <v>65</v>
      </c>
      <c r="E329" s="4" t="s">
        <v>4478</v>
      </c>
      <c r="F329" s="4">
        <v>19</v>
      </c>
      <c r="G329" s="4" t="s">
        <v>3930</v>
      </c>
    </row>
    <row r="330" spans="1:7" x14ac:dyDescent="0.2">
      <c r="A330" s="4" t="s">
        <v>4479</v>
      </c>
      <c r="B330" s="4" t="s">
        <v>1865</v>
      </c>
      <c r="C330" s="4" t="s">
        <v>4480</v>
      </c>
      <c r="D330" s="4" t="s">
        <v>62</v>
      </c>
      <c r="E330" s="4" t="s">
        <v>4481</v>
      </c>
      <c r="F330" s="4">
        <v>63</v>
      </c>
      <c r="G330" s="4" t="s">
        <v>3932</v>
      </c>
    </row>
    <row r="331" spans="1:7" x14ac:dyDescent="0.2">
      <c r="A331" s="4" t="s">
        <v>1972</v>
      </c>
      <c r="B331" s="4" t="s">
        <v>1865</v>
      </c>
      <c r="C331" s="4" t="s">
        <v>4482</v>
      </c>
      <c r="D331" s="4" t="s">
        <v>56</v>
      </c>
      <c r="E331" s="4" t="s">
        <v>4483</v>
      </c>
      <c r="F331" s="4">
        <v>54</v>
      </c>
      <c r="G331" s="4" t="s">
        <v>3932</v>
      </c>
    </row>
    <row r="332" spans="1:7" x14ac:dyDescent="0.2">
      <c r="A332" s="4" t="s">
        <v>4484</v>
      </c>
      <c r="B332" s="4" t="s">
        <v>1865</v>
      </c>
      <c r="C332" s="4" t="s">
        <v>4485</v>
      </c>
      <c r="D332" s="4" t="s">
        <v>58</v>
      </c>
      <c r="E332" s="4" t="s">
        <v>2346</v>
      </c>
      <c r="F332" s="4">
        <v>124</v>
      </c>
      <c r="G332" s="4" t="s">
        <v>3932</v>
      </c>
    </row>
    <row r="333" spans="1:7" x14ac:dyDescent="0.2">
      <c r="A333" s="4" t="s">
        <v>1967</v>
      </c>
      <c r="B333" s="4" t="s">
        <v>1868</v>
      </c>
      <c r="C333" s="4" t="s">
        <v>4486</v>
      </c>
      <c r="D333" s="4" t="s">
        <v>57</v>
      </c>
      <c r="E333" s="4" t="s">
        <v>2969</v>
      </c>
      <c r="F333" s="4">
        <v>191</v>
      </c>
      <c r="G333" s="4" t="s">
        <v>3930</v>
      </c>
    </row>
    <row r="334" spans="1:7" x14ac:dyDescent="0.2">
      <c r="A334" s="4" t="s">
        <v>1949</v>
      </c>
      <c r="B334" s="4" t="s">
        <v>1868</v>
      </c>
      <c r="C334" s="4" t="s">
        <v>4487</v>
      </c>
      <c r="D334" s="4" t="s">
        <v>58</v>
      </c>
      <c r="E334" s="4" t="s">
        <v>2806</v>
      </c>
      <c r="F334" s="4">
        <v>111</v>
      </c>
      <c r="G334" s="4" t="s">
        <v>3930</v>
      </c>
    </row>
    <row r="335" spans="1:7" x14ac:dyDescent="0.2">
      <c r="A335" s="4" t="s">
        <v>2364</v>
      </c>
      <c r="B335" s="4" t="s">
        <v>1872</v>
      </c>
      <c r="C335" s="4" t="s">
        <v>4488</v>
      </c>
      <c r="D335" s="4" t="s">
        <v>59</v>
      </c>
      <c r="E335" s="4" t="s">
        <v>4476</v>
      </c>
      <c r="F335" s="4">
        <v>832</v>
      </c>
      <c r="G335" s="4" t="s">
        <v>3928</v>
      </c>
    </row>
    <row r="336" spans="1:7" x14ac:dyDescent="0.2">
      <c r="A336" s="4" t="s">
        <v>4489</v>
      </c>
      <c r="B336" s="4" t="s">
        <v>1875</v>
      </c>
      <c r="C336" s="4" t="s">
        <v>4490</v>
      </c>
      <c r="D336" s="4" t="s">
        <v>59</v>
      </c>
      <c r="E336" s="4" t="s">
        <v>4491</v>
      </c>
      <c r="F336" s="4">
        <v>79</v>
      </c>
      <c r="G336" s="4" t="s">
        <v>3928</v>
      </c>
    </row>
    <row r="337" spans="1:7" x14ac:dyDescent="0.2">
      <c r="A337" s="4" t="s">
        <v>3544</v>
      </c>
      <c r="B337" s="4" t="s">
        <v>1875</v>
      </c>
      <c r="C337" s="4" t="s">
        <v>4492</v>
      </c>
      <c r="D337" s="4" t="s">
        <v>62</v>
      </c>
      <c r="E337" s="4" t="s">
        <v>4493</v>
      </c>
      <c r="F337" s="4">
        <v>170</v>
      </c>
      <c r="G337" s="4" t="s">
        <v>3932</v>
      </c>
    </row>
    <row r="338" spans="1:7" x14ac:dyDescent="0.2">
      <c r="A338" s="4" t="s">
        <v>2240</v>
      </c>
      <c r="B338" s="4" t="s">
        <v>1875</v>
      </c>
      <c r="C338" s="4" t="s">
        <v>4494</v>
      </c>
      <c r="D338" s="4" t="s">
        <v>65</v>
      </c>
      <c r="E338" s="4" t="s">
        <v>2082</v>
      </c>
      <c r="F338" s="4">
        <v>212</v>
      </c>
      <c r="G338" s="4" t="s">
        <v>3932</v>
      </c>
    </row>
    <row r="339" spans="1:7" x14ac:dyDescent="0.2">
      <c r="A339" s="4" t="s">
        <v>3358</v>
      </c>
      <c r="B339" s="4" t="s">
        <v>1879</v>
      </c>
      <c r="C339" s="4" t="s">
        <v>4495</v>
      </c>
      <c r="D339" s="4" t="s">
        <v>62</v>
      </c>
      <c r="E339" s="4" t="s">
        <v>4496</v>
      </c>
      <c r="F339" s="4">
        <v>61</v>
      </c>
      <c r="G339" s="4" t="s">
        <v>3930</v>
      </c>
    </row>
    <row r="340" spans="1:7" x14ac:dyDescent="0.2">
      <c r="A340" s="4" t="s">
        <v>2094</v>
      </c>
      <c r="B340" s="4" t="s">
        <v>1879</v>
      </c>
      <c r="C340" s="4" t="s">
        <v>4497</v>
      </c>
      <c r="D340" s="4" t="s">
        <v>58</v>
      </c>
      <c r="E340" s="4" t="s">
        <v>4498</v>
      </c>
      <c r="F340" s="4">
        <v>53</v>
      </c>
      <c r="G340" s="4" t="s">
        <v>3932</v>
      </c>
    </row>
    <row r="341" spans="1:7" x14ac:dyDescent="0.2">
      <c r="A341" s="4" t="s">
        <v>3362</v>
      </c>
      <c r="B341" s="4" t="s">
        <v>1879</v>
      </c>
      <c r="C341" s="4" t="s">
        <v>4499</v>
      </c>
      <c r="D341" s="4" t="s">
        <v>56</v>
      </c>
      <c r="E341" s="4" t="s">
        <v>4500</v>
      </c>
      <c r="F341" s="4">
        <v>51</v>
      </c>
      <c r="G341" s="4" t="s">
        <v>3930</v>
      </c>
    </row>
    <row r="342" spans="1:7" x14ac:dyDescent="0.2">
      <c r="A342" s="4" t="s">
        <v>2612</v>
      </c>
      <c r="B342" s="4" t="s">
        <v>1883</v>
      </c>
      <c r="C342" s="4" t="s">
        <v>4501</v>
      </c>
      <c r="D342" s="4" t="s">
        <v>64</v>
      </c>
      <c r="E342" s="4" t="s">
        <v>4275</v>
      </c>
      <c r="F342" s="4">
        <v>75</v>
      </c>
      <c r="G342" s="4" t="s">
        <v>3928</v>
      </c>
    </row>
    <row r="343" spans="1:7" x14ac:dyDescent="0.2">
      <c r="A343" s="4" t="s">
        <v>2125</v>
      </c>
      <c r="B343" s="4" t="s">
        <v>1883</v>
      </c>
      <c r="C343" s="4" t="s">
        <v>4502</v>
      </c>
      <c r="D343" s="4" t="s">
        <v>65</v>
      </c>
      <c r="E343" s="4" t="s">
        <v>4503</v>
      </c>
      <c r="F343" s="4">
        <v>56</v>
      </c>
      <c r="G343" s="4" t="s">
        <v>3928</v>
      </c>
    </row>
    <row r="344" spans="1:7" x14ac:dyDescent="0.2">
      <c r="A344" s="4" t="s">
        <v>3337</v>
      </c>
      <c r="B344" s="4" t="s">
        <v>1887</v>
      </c>
      <c r="C344" s="4" t="s">
        <v>4504</v>
      </c>
      <c r="D344" s="4" t="s">
        <v>65</v>
      </c>
      <c r="E344" s="4" t="s">
        <v>2567</v>
      </c>
      <c r="F344" s="4">
        <v>7</v>
      </c>
      <c r="G344" s="4" t="s">
        <v>3932</v>
      </c>
    </row>
    <row r="345" spans="1:7" x14ac:dyDescent="0.2">
      <c r="A345" s="4" t="s">
        <v>3142</v>
      </c>
      <c r="B345" s="4" t="s">
        <v>1887</v>
      </c>
      <c r="C345" s="4" t="s">
        <v>4505</v>
      </c>
      <c r="D345" s="4" t="s">
        <v>60</v>
      </c>
      <c r="E345" s="4" t="s">
        <v>4165</v>
      </c>
      <c r="F345" s="4">
        <v>3</v>
      </c>
      <c r="G345" s="4" t="s">
        <v>3932</v>
      </c>
    </row>
    <row r="346" spans="1:7" x14ac:dyDescent="0.2">
      <c r="A346" s="4" t="s">
        <v>4506</v>
      </c>
      <c r="B346" s="4" t="s">
        <v>1887</v>
      </c>
      <c r="C346" s="4" t="s">
        <v>4507</v>
      </c>
      <c r="D346" s="4" t="s">
        <v>65</v>
      </c>
      <c r="E346" s="4" t="s">
        <v>2488</v>
      </c>
      <c r="F346" s="4">
        <v>6</v>
      </c>
      <c r="G346" s="4" t="s">
        <v>3930</v>
      </c>
    </row>
    <row r="347" spans="1:7" x14ac:dyDescent="0.2">
      <c r="A347" s="4" t="s">
        <v>2702</v>
      </c>
      <c r="B347" s="4" t="s">
        <v>1887</v>
      </c>
      <c r="C347" s="4" t="s">
        <v>4508</v>
      </c>
      <c r="D347" s="4" t="s">
        <v>65</v>
      </c>
      <c r="E347" s="4" t="s">
        <v>3009</v>
      </c>
      <c r="F347" s="4">
        <v>9</v>
      </c>
      <c r="G347" s="4" t="s">
        <v>3932</v>
      </c>
    </row>
    <row r="348" spans="1:7" x14ac:dyDescent="0.2">
      <c r="A348" s="4" t="s">
        <v>4509</v>
      </c>
      <c r="B348" s="4" t="s">
        <v>1890</v>
      </c>
      <c r="C348" s="4" t="s">
        <v>4510</v>
      </c>
      <c r="D348" s="4" t="s">
        <v>58</v>
      </c>
      <c r="E348" s="4" t="s">
        <v>4511</v>
      </c>
      <c r="F348" s="4">
        <v>35</v>
      </c>
      <c r="G348" s="4" t="s">
        <v>3930</v>
      </c>
    </row>
    <row r="349" spans="1:7" x14ac:dyDescent="0.2">
      <c r="A349" s="4" t="s">
        <v>2721</v>
      </c>
      <c r="B349" s="4" t="s">
        <v>1890</v>
      </c>
      <c r="C349" s="4" t="s">
        <v>4512</v>
      </c>
      <c r="D349" s="4" t="s">
        <v>62</v>
      </c>
      <c r="E349" s="4" t="s">
        <v>4513</v>
      </c>
      <c r="F349" s="4">
        <v>30</v>
      </c>
      <c r="G349" s="4" t="s">
        <v>3932</v>
      </c>
    </row>
    <row r="350" spans="1:7" x14ac:dyDescent="0.2">
      <c r="A350" s="4" t="s">
        <v>4514</v>
      </c>
      <c r="B350" s="4" t="s">
        <v>1890</v>
      </c>
      <c r="C350" s="4" t="s">
        <v>4515</v>
      </c>
      <c r="D350" s="4" t="s">
        <v>59</v>
      </c>
      <c r="E350" s="4" t="s">
        <v>1993</v>
      </c>
      <c r="F350" s="4">
        <v>21</v>
      </c>
      <c r="G350" s="4" t="s">
        <v>3928</v>
      </c>
    </row>
    <row r="351" spans="1:7" x14ac:dyDescent="0.2">
      <c r="A351" s="4" t="s">
        <v>4516</v>
      </c>
      <c r="B351" s="4" t="s">
        <v>1890</v>
      </c>
      <c r="C351" s="4" t="s">
        <v>4517</v>
      </c>
      <c r="D351" s="4" t="s">
        <v>64</v>
      </c>
      <c r="E351" s="4" t="s">
        <v>2507</v>
      </c>
      <c r="F351" s="4">
        <v>30</v>
      </c>
      <c r="G351" s="4" t="s">
        <v>3928</v>
      </c>
    </row>
    <row r="352" spans="1:7" x14ac:dyDescent="0.2">
      <c r="A352" s="4" t="s">
        <v>4518</v>
      </c>
      <c r="B352" s="4" t="s">
        <v>1890</v>
      </c>
      <c r="C352" s="4" t="s">
        <v>4519</v>
      </c>
      <c r="D352" s="4" t="s">
        <v>57</v>
      </c>
      <c r="E352" s="4" t="s">
        <v>4348</v>
      </c>
      <c r="F352" s="4">
        <v>27</v>
      </c>
      <c r="G352" s="4" t="s">
        <v>3928</v>
      </c>
    </row>
    <row r="353" spans="1:7" x14ac:dyDescent="0.2">
      <c r="A353" s="4" t="s">
        <v>3036</v>
      </c>
      <c r="B353" s="4" t="s">
        <v>1890</v>
      </c>
      <c r="C353" s="4" t="s">
        <v>4520</v>
      </c>
      <c r="D353" s="4" t="s">
        <v>57</v>
      </c>
      <c r="E353" s="4" t="s">
        <v>4521</v>
      </c>
      <c r="F353" s="4">
        <v>25</v>
      </c>
      <c r="G353" s="4" t="s">
        <v>3932</v>
      </c>
    </row>
    <row r="354" spans="1:7" x14ac:dyDescent="0.2">
      <c r="A354" s="4" t="s">
        <v>2758</v>
      </c>
      <c r="B354" s="4" t="s">
        <v>1894</v>
      </c>
      <c r="C354" s="4" t="s">
        <v>4522</v>
      </c>
      <c r="D354" s="4" t="s">
        <v>62</v>
      </c>
      <c r="E354" s="4" t="s">
        <v>2930</v>
      </c>
      <c r="F354" s="4">
        <v>71</v>
      </c>
      <c r="G354" s="4" t="s">
        <v>3932</v>
      </c>
    </row>
    <row r="355" spans="1:7" x14ac:dyDescent="0.2">
      <c r="A355" s="4" t="s">
        <v>3557</v>
      </c>
      <c r="B355" s="4" t="s">
        <v>1894</v>
      </c>
      <c r="C355" s="4" t="s">
        <v>4486</v>
      </c>
      <c r="D355" s="4" t="s">
        <v>61</v>
      </c>
      <c r="E355" s="4" t="s">
        <v>4523</v>
      </c>
      <c r="F355" s="4">
        <v>157</v>
      </c>
      <c r="G355" s="4" t="s">
        <v>3930</v>
      </c>
    </row>
    <row r="356" spans="1:7" x14ac:dyDescent="0.2">
      <c r="A356" s="4" t="s">
        <v>2266</v>
      </c>
      <c r="B356" s="4" t="s">
        <v>1894</v>
      </c>
      <c r="C356" s="4" t="s">
        <v>4524</v>
      </c>
      <c r="D356" s="4" t="s">
        <v>62</v>
      </c>
      <c r="E356" s="4" t="s">
        <v>4525</v>
      </c>
      <c r="F356" s="4">
        <v>107</v>
      </c>
      <c r="G356" s="4" t="s">
        <v>3928</v>
      </c>
    </row>
    <row r="357" spans="1:7" x14ac:dyDescent="0.2">
      <c r="A357" s="4" t="s">
        <v>4526</v>
      </c>
      <c r="B357" s="4" t="s">
        <v>1898</v>
      </c>
      <c r="C357" s="4" t="s">
        <v>4527</v>
      </c>
      <c r="D357" s="4" t="s">
        <v>58</v>
      </c>
      <c r="E357" s="4" t="s">
        <v>4528</v>
      </c>
      <c r="F357" s="4">
        <v>7</v>
      </c>
      <c r="G357" s="4" t="s">
        <v>3928</v>
      </c>
    </row>
    <row r="358" spans="1:7" x14ac:dyDescent="0.2">
      <c r="A358" s="4" t="s">
        <v>4529</v>
      </c>
      <c r="B358" s="4" t="s">
        <v>1898</v>
      </c>
      <c r="C358" s="4" t="s">
        <v>4530</v>
      </c>
      <c r="D358" s="4" t="s">
        <v>65</v>
      </c>
      <c r="E358" s="4" t="s">
        <v>2243</v>
      </c>
      <c r="F358" s="4">
        <v>9</v>
      </c>
      <c r="G358" s="4" t="s">
        <v>3930</v>
      </c>
    </row>
    <row r="359" spans="1:7" x14ac:dyDescent="0.2">
      <c r="A359" s="4" t="s">
        <v>3473</v>
      </c>
      <c r="B359" s="4" t="s">
        <v>1898</v>
      </c>
      <c r="C359" s="4" t="s">
        <v>4531</v>
      </c>
      <c r="D359" s="4" t="s">
        <v>62</v>
      </c>
      <c r="E359" s="4" t="s">
        <v>2899</v>
      </c>
      <c r="F359" s="4">
        <v>10</v>
      </c>
      <c r="G359" s="4" t="s">
        <v>3930</v>
      </c>
    </row>
    <row r="360" spans="1:7" x14ac:dyDescent="0.2">
      <c r="A360" s="4" t="s">
        <v>4532</v>
      </c>
      <c r="B360" s="4" t="s">
        <v>1898</v>
      </c>
      <c r="C360" s="4" t="s">
        <v>4533</v>
      </c>
      <c r="D360" s="4" t="s">
        <v>58</v>
      </c>
      <c r="E360" s="4" t="s">
        <v>2243</v>
      </c>
      <c r="F360" s="4">
        <v>14</v>
      </c>
      <c r="G360" s="4" t="s">
        <v>3932</v>
      </c>
    </row>
    <row r="361" spans="1:7" x14ac:dyDescent="0.2">
      <c r="A361" s="4" t="s">
        <v>4534</v>
      </c>
      <c r="B361" s="4" t="s">
        <v>1898</v>
      </c>
      <c r="C361" s="4" t="s">
        <v>4535</v>
      </c>
      <c r="D361" s="4" t="s">
        <v>58</v>
      </c>
      <c r="E361" s="4" t="s">
        <v>2243</v>
      </c>
      <c r="F361" s="4">
        <v>13</v>
      </c>
      <c r="G361" s="4" t="s">
        <v>3932</v>
      </c>
    </row>
    <row r="362" spans="1:7" x14ac:dyDescent="0.2">
      <c r="A362" s="4" t="s">
        <v>4536</v>
      </c>
      <c r="B362" s="4" t="s">
        <v>1898</v>
      </c>
      <c r="C362" s="4" t="s">
        <v>4537</v>
      </c>
      <c r="D362" s="4" t="s">
        <v>56</v>
      </c>
      <c r="E362" s="4" t="s">
        <v>2264</v>
      </c>
      <c r="F362" s="4">
        <v>13</v>
      </c>
      <c r="G362" s="4" t="s">
        <v>3932</v>
      </c>
    </row>
    <row r="363" spans="1:7" x14ac:dyDescent="0.2">
      <c r="A363" s="4" t="s">
        <v>2136</v>
      </c>
      <c r="B363" s="4" t="s">
        <v>1902</v>
      </c>
      <c r="C363" s="4" t="s">
        <v>4538</v>
      </c>
      <c r="D363" s="4" t="s">
        <v>59</v>
      </c>
      <c r="E363" s="4" t="s">
        <v>3870</v>
      </c>
      <c r="F363" s="4">
        <v>44</v>
      </c>
      <c r="G363" s="4" t="s">
        <v>3930</v>
      </c>
    </row>
    <row r="364" spans="1:7" x14ac:dyDescent="0.2">
      <c r="A364" s="4" t="s">
        <v>3723</v>
      </c>
      <c r="B364" s="4" t="s">
        <v>1902</v>
      </c>
      <c r="C364" s="4" t="s">
        <v>4539</v>
      </c>
      <c r="D364" s="4" t="s">
        <v>62</v>
      </c>
      <c r="E364" s="4" t="s">
        <v>2731</v>
      </c>
      <c r="F364" s="4">
        <v>80</v>
      </c>
      <c r="G364" s="4" t="s">
        <v>3930</v>
      </c>
    </row>
    <row r="365" spans="1:7" x14ac:dyDescent="0.2">
      <c r="A365" s="4" t="s">
        <v>2162</v>
      </c>
      <c r="B365" s="4" t="s">
        <v>1906</v>
      </c>
      <c r="C365" s="4" t="s">
        <v>4540</v>
      </c>
      <c r="D365" s="4" t="s">
        <v>62</v>
      </c>
      <c r="E365" s="4" t="s">
        <v>4541</v>
      </c>
      <c r="F365" s="4">
        <v>26</v>
      </c>
      <c r="G365" s="4" t="s">
        <v>3932</v>
      </c>
    </row>
    <row r="366" spans="1:7" x14ac:dyDescent="0.2">
      <c r="A366" s="4" t="s">
        <v>3437</v>
      </c>
      <c r="B366" s="4" t="s">
        <v>1906</v>
      </c>
      <c r="C366" s="4" t="s">
        <v>4542</v>
      </c>
      <c r="D366" s="4" t="s">
        <v>64</v>
      </c>
      <c r="E366" s="4" t="s">
        <v>4543</v>
      </c>
      <c r="F366" s="4">
        <v>14</v>
      </c>
      <c r="G366" s="4" t="s">
        <v>3930</v>
      </c>
    </row>
    <row r="367" spans="1:7" x14ac:dyDescent="0.2">
      <c r="A367" s="4" t="s">
        <v>3211</v>
      </c>
      <c r="B367" s="4" t="s">
        <v>1906</v>
      </c>
      <c r="C367" s="4" t="s">
        <v>4544</v>
      </c>
      <c r="D367" s="4" t="s">
        <v>57</v>
      </c>
      <c r="E367" s="4" t="s">
        <v>4545</v>
      </c>
      <c r="F367" s="4">
        <v>20</v>
      </c>
      <c r="G367" s="4" t="s">
        <v>3928</v>
      </c>
    </row>
    <row r="368" spans="1:7" x14ac:dyDescent="0.2">
      <c r="A368" s="4" t="s">
        <v>4546</v>
      </c>
      <c r="B368" s="4" t="s">
        <v>1906</v>
      </c>
      <c r="C368" s="4" t="s">
        <v>4547</v>
      </c>
      <c r="D368" s="4" t="s">
        <v>56</v>
      </c>
      <c r="E368" s="4" t="s">
        <v>2118</v>
      </c>
      <c r="F368" s="4">
        <v>34</v>
      </c>
      <c r="G368" s="4" t="s">
        <v>3930</v>
      </c>
    </row>
    <row r="369" spans="1:7" x14ac:dyDescent="0.2">
      <c r="A369" s="4" t="s">
        <v>2099</v>
      </c>
      <c r="B369" s="4" t="s">
        <v>1911</v>
      </c>
      <c r="C369" s="4" t="s">
        <v>4548</v>
      </c>
      <c r="D369" s="4" t="s">
        <v>64</v>
      </c>
      <c r="E369" s="4" t="s">
        <v>3174</v>
      </c>
      <c r="F369" s="4">
        <v>61</v>
      </c>
      <c r="G369" s="4" t="s">
        <v>3932</v>
      </c>
    </row>
    <row r="370" spans="1:7" x14ac:dyDescent="0.2">
      <c r="A370" s="4" t="s">
        <v>3121</v>
      </c>
      <c r="B370" s="4" t="s">
        <v>1916</v>
      </c>
      <c r="C370" s="4" t="s">
        <v>4549</v>
      </c>
      <c r="D370" s="4" t="s">
        <v>63</v>
      </c>
      <c r="E370" s="4" t="s">
        <v>4275</v>
      </c>
      <c r="F370" s="4">
        <v>76</v>
      </c>
      <c r="G370" s="4" t="s">
        <v>3928</v>
      </c>
    </row>
    <row r="371" spans="1:7" x14ac:dyDescent="0.2">
      <c r="A371" s="4" t="s">
        <v>2966</v>
      </c>
      <c r="B371" s="4" t="s">
        <v>1916</v>
      </c>
      <c r="C371" s="4" t="s">
        <v>4550</v>
      </c>
      <c r="D371" s="4" t="s">
        <v>60</v>
      </c>
      <c r="E371" s="4" t="s">
        <v>3407</v>
      </c>
      <c r="F371" s="4">
        <v>53</v>
      </c>
      <c r="G371" s="4" t="s">
        <v>3932</v>
      </c>
    </row>
    <row r="372" spans="1:7" x14ac:dyDescent="0.2">
      <c r="A372" s="4" t="s">
        <v>4551</v>
      </c>
      <c r="B372" s="4" t="s">
        <v>1916</v>
      </c>
      <c r="C372" s="4" t="s">
        <v>4552</v>
      </c>
      <c r="D372" s="4" t="s">
        <v>62</v>
      </c>
      <c r="E372" s="4" t="s">
        <v>3283</v>
      </c>
      <c r="F372" s="4">
        <v>38</v>
      </c>
      <c r="G372" s="4" t="s">
        <v>3932</v>
      </c>
    </row>
    <row r="373" spans="1:7" x14ac:dyDescent="0.2">
      <c r="A373" s="4" t="s">
        <v>2745</v>
      </c>
      <c r="B373" s="4" t="s">
        <v>1920</v>
      </c>
      <c r="C373" s="4" t="s">
        <v>4553</v>
      </c>
      <c r="D373" s="4" t="s">
        <v>57</v>
      </c>
      <c r="E373" s="4" t="s">
        <v>4554</v>
      </c>
      <c r="F373" s="4">
        <v>15</v>
      </c>
      <c r="G373" s="4" t="s">
        <v>3930</v>
      </c>
    </row>
    <row r="374" spans="1:7" x14ac:dyDescent="0.2">
      <c r="A374" s="4" t="s">
        <v>2868</v>
      </c>
      <c r="B374" s="4" t="s">
        <v>1920</v>
      </c>
      <c r="C374" s="4" t="s">
        <v>4555</v>
      </c>
      <c r="D374" s="4" t="s">
        <v>64</v>
      </c>
      <c r="E374" s="4" t="s">
        <v>3485</v>
      </c>
      <c r="F374" s="4">
        <v>31</v>
      </c>
      <c r="G374" s="4" t="s">
        <v>3932</v>
      </c>
    </row>
    <row r="375" spans="1:7" x14ac:dyDescent="0.2">
      <c r="A375" s="4" t="s">
        <v>3587</v>
      </c>
      <c r="B375" s="4" t="s">
        <v>1920</v>
      </c>
      <c r="C375" s="4" t="s">
        <v>4556</v>
      </c>
      <c r="D375" s="4" t="s">
        <v>56</v>
      </c>
      <c r="E375" s="4" t="s">
        <v>3174</v>
      </c>
      <c r="F375" s="4">
        <v>27</v>
      </c>
      <c r="G375" s="4" t="s">
        <v>3932</v>
      </c>
    </row>
    <row r="376" spans="1:7" x14ac:dyDescent="0.2">
      <c r="A376" s="4" t="s">
        <v>2010</v>
      </c>
      <c r="B376" s="4" t="s">
        <v>1920</v>
      </c>
      <c r="C376" s="4" t="s">
        <v>4557</v>
      </c>
      <c r="D376" s="4" t="s">
        <v>64</v>
      </c>
      <c r="E376" s="4" t="s">
        <v>2507</v>
      </c>
      <c r="F376" s="4">
        <v>31</v>
      </c>
      <c r="G376" s="4" t="s">
        <v>3930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Agent_Summary</vt:lpstr>
      <vt:lpstr>Trial_AE_Summary</vt:lpstr>
      <vt:lpstr>Agent_Logs_Raw</vt:lpstr>
      <vt:lpstr>Trials_Raw</vt:lpstr>
      <vt:lpstr>AE_Raw</vt:lpstr>
      <vt:lpstr>Sites_Raw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Tapabrata Maity</cp:lastModifiedBy>
  <cp:revision>1</cp:revision>
  <dcterms:created xsi:type="dcterms:W3CDTF">2026-10-02T14:04:42Z</dcterms:created>
  <dcterms:modified xsi:type="dcterms:W3CDTF">2026-10-04T05:28:28Z</dcterms:modified>
  <dc:language>en-US</dc:language>
</cp:coreProperties>
</file>